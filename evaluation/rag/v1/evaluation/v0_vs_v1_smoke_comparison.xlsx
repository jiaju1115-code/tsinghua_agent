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f83f55afe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0 vs V1 Smoke" sheetId="1" r:id="R9a4d2ed10d8e4cf7"/>
    <x:sheet xmlns:r="http://schemas.openxmlformats.org/officeDocument/2006/relationships" name="Verdict Summary" sheetId="2" r:id="R790d7553494b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2B6F7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a0557b12f434f" /><Relationship Type="http://schemas.openxmlformats.org/officeDocument/2006/relationships/theme" Target="/xl/theme/theme1.xml" Id="R1a8cb3e5c2e64722" /><Relationship Type="http://schemas.openxmlformats.org/officeDocument/2006/relationships/sharedStrings" Target="/xl/sharedStrings.xml" Id="R279969a62a55483c" /><Relationship Type="http://schemas.openxmlformats.org/officeDocument/2006/relationships/worksheet" Target="/xl/worksheets/sheet1.xml" Id="R9a4d2ed10d8e4cf7" /><Relationship Type="http://schemas.openxmlformats.org/officeDocument/2006/relationships/worksheet" Target="/xl/worksheets/sheet2.xml" Id="R790d7553494b405d" /></Relationships>
</file>

<file path=xl/tables/table1.xml><?xml version="1.0" encoding="utf-8"?>
<x:table xmlns:x="http://schemas.openxmlformats.org/spreadsheetml/2006/main" id="1" name="SmokeComparison" displayName="SmokeComparison" ref="A4:N14" headerRowCount="1" totalsRowCount="0" totalsRowShown="0">
  <x:tableColumns count="14">
    <x:tableColumn id="1" name="query_id"/>
    <x:tableColumn id="2" name="query"/>
    <x:tableColumn id="3" name="V0 TF-IDF结果"/>
    <x:tableColumn id="4" name="Dense结果"/>
    <x:tableColumn id="5" name="Hybrid结果"/>
    <x:tableColumn id="6" name="Hybrid + Rerank结果"/>
    <x:tableColumn id="7" name="expected category"/>
    <x:tableColumn id="8" name="expected source"/>
    <x:tableColumn id="9" name="top5 category hit"/>
    <x:tableColumn id="10" name="top5 source hit"/>
    <x:tableColumn id="11" name="previous V0 verdict"/>
    <x:tableColumn id="12" name="V1 verdict"/>
    <x:tableColumn id="13" name="change"/>
    <x:tableColumn id="1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e2b2a797b04c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21" hidden="0" customWidth="1"/>
    <x:col min="8" max="8" width="21" hidden="0" customWidth="1"/>
    <x:col min="9" max="9" width="30" hidden="0" customWidth="1"/>
    <x:col min="10" max="10" width="30" hidden="0" customWidth="1"/>
    <x:col min="11" max="11" width="16" hidden="0" customWidth="1"/>
    <x:col min="12" max="12" width="16" hidden="0" customWidth="1"/>
    <x:col min="13" max="13" width="16" hidden="0" customWidth="1"/>
    <x:col min="14" max="14" width="44" hidden="0" customWidth="1"/>
  </x:cols>
  <x:sheetData>
    <x:row r="1" ht="30" customHeight="1">
      <x:c r="A1" s="2" t="str">
        <x:v>V0 vs V1 — Frozen 10-Query Smoke Comparison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5" t="str">
        <x:v>Verdicts distinguish retriever behavior from source-data ceilings; no external model supplied correctness labels.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38" customHeight="1">
      <x:c r="A4" s="9" t="str">
        <x:v>query_id</x:v>
      </x:c>
      <x:c r="B4" s="9" t="str">
        <x:v>query</x:v>
      </x:c>
      <x:c r="C4" s="9" t="str">
        <x:v>V0 TF-IDF结果</x:v>
      </x:c>
      <x:c r="D4" s="9" t="str">
        <x:v>Dense结果</x:v>
      </x:c>
      <x:c r="E4" s="9" t="str">
        <x:v>Hybrid结果</x:v>
      </x:c>
      <x:c r="F4" s="9" t="str">
        <x:v>Hybrid + Rerank结果</x:v>
      </x:c>
      <x:c r="G4" s="9" t="str">
        <x:v>expected category</x:v>
      </x:c>
      <x:c r="H4" s="9" t="str">
        <x:v>expected source</x:v>
      </x:c>
      <x:c r="I4" s="9" t="str">
        <x:v>top5 category hit</x:v>
      </x:c>
      <x:c r="J4" s="9" t="str">
        <x:v>top5 source hit</x:v>
      </x:c>
      <x:c r="K4" s="9" t="str">
        <x:v>previous V0 verdict</x:v>
      </x:c>
      <x:c r="L4" s="9" t="str">
        <x:v>V1 verdict</x:v>
      </x:c>
      <x:c r="M4" s="9" t="str">
        <x:v>change</x:v>
      </x:c>
      <x:c r="N4" s="9" t="str">
        <x:v>note</x:v>
      </x:c>
    </x:row>
    <x:row r="5">
      <x:c r="A5" s="11" t="str">
        <x:v>RET-01</x:v>
      </x:c>
      <x:c r="B5" s="11" t="str">
        <x:v>如何查询清华大学本科生学籍、注册与培养管理规定？</x:v>
      </x:c>
      <x:c r="C5" s="11" t="str">
        <x:v>1:STGPUB-0049 清华大学本科生辅修学士学位专业教学管理办法 为了促进复合型人才培养，为学有余力的学生提供跨学科学习的机 会，根 | 2:STGPUB-0021 求真书院课程免修申请 | 3:STGPUB-0046 清华大学本科生临时借款管理办法 2021/04/07 为解决部分本科生报到注册和入学后暂时的经济困难，学校从1 | 4:STGPUB-0060 课程设置与实施 | 5:STGPUB-0045 清华大学本科体育课程的有关规定及要求 根据教育部《全国普通高等学校体育课程教学指导纲要》和《国家学生体质健康标</x:v>
      </x:c>
      <x:c r="D5" s="11" t="str">
        <x:v>1:STGPUB-0047 清华大学本科生学籍管理规定 为了规范学籍管理工作，维护学校正常的教育教学秩序，保证教学培养质量，保障学生合法权 | 2:STGPUB-0047 清华大学本科生学籍管理规定 为了规范学籍管理工作，维护学校正常的教育教学秩序，保证教学培养质量，保障学生合法权 | 3:STGPUB-0048 清华大学本科生学籍管理规定-清华大学 | 4:STGPUB-0047 清华大学本科生学籍管理规定 为了规范学籍管理工作，维护学校正常的教育教学秩序，保证教学培养质量，保障学生合法权 | 5:STGPUB-0048 清华大学本科生学籍管理规定-清华大学</x:v>
      </x:c>
      <x:c r="E5" s="11" t="str">
        <x:v>1:STGPUB-0047 清华大学本科生学籍管理规定 为了规范学籍管理工作，维护学校正常的教育教学秩序，保证教学培养质量，保障学生合法权 | 2:STGPUB-0047 清华大学本科生学籍管理规定 为了规范学籍管理工作，维护学校正常的教育教学秩序，保证教学培养质量，保障学生合法权 | 3:STGPUB-0049 清华大学本科生辅修学士学位专业教学管理办法 为了促进复合型人才培养，为学有余力的学生提供跨学科学习的机 会，根 | 4:STGPUB-0048 清华大学本科生学籍管理规定-清华大学 | 5:STGPUB-0047 清华大学本科生学籍管理规定 为了规范学籍管理工作，维护学校正常的教育教学秩序，保证教学培养质量，保障学生合法权</x:v>
      </x:c>
      <x:c r="F5" s="11" t="str">
        <x:v>1:STGPUB-0049 清华大学本科生辅修学士学位专业教学管理办法 为了促进复合型人才培养，为学有余力的学生提供跨学科学习的机 会，根 | 2:STGPUB-0048 清华大学本科生学籍管理规定-清华大学 | 3:STGPUB-0047 清华大学本科生学籍管理规定 为了规范学籍管理工作，维护学校正常的教育教学秩序，保证教学培养质量，保障学生合法权 | 4:STGPUB-0051 清华大学研究生学籍管理规定 （经学校2004～2005学年度第24次校务会议审议通过，2014～2015学年度 | 5:STGPUB-0045 清华大学本科体育课程的有关规定及要求 根据教育部《全国普通高等学校体育课程教学指导纲要》和《国家学生体质健康标</x:v>
      </x:c>
      <x:c r="G5" s="11" t="str">
        <x:v>教务与学籍</x:v>
      </x:c>
      <x:c r="H5" s="11" t="str">
        <x:v>STGPUB-0047</x:v>
      </x:c>
      <x:c r="I5" s="11" t="str">
        <x:v>tfidf=True; dense=True; hybrid=True; hybrid_rerank=True</x:v>
      </x:c>
      <x:c r="J5" s="11" t="str">
        <x:v>tfidf=False; dense=True; hybrid=True; hybrid_rerank=True</x:v>
      </x:c>
      <x:c r="K5" s="11" t="str">
        <x:v>partial</x:v>
      </x:c>
      <x:c r="L5" s="11" t="str">
        <x:v>partial</x:v>
      </x:c>
      <x:c r="M5" s="11" t="str">
        <x:v>unchanged</x:v>
      </x:c>
      <x:c r="N5" s="11" t="str">
        <x:v>Composite academic-status/registration/training request remains only partially covered; ranking changes cannot create missing consolidated evidence.</x:v>
      </x:c>
    </x:row>
    <x:row r="6">
      <x:c r="A6" s="11" t="str">
        <x:v>RET-02</x:v>
      </x:c>
      <x:c r="B6" s="11" t="str">
        <x:v>学生公寓住宿规定、入住和退宿怎么办？</x:v>
      </x:c>
      <x:c r="C6" s="11" t="str">
        <x:v>1:STGPUB-0007 住宿注意事项 | 2:STGPUB-0001 2023.04.24 清华大学学生公寓住宿管理办法 | 3:STGPUB-0001 2023.04.24 清华大学学生公寓住宿管理办法 | 4:STGPUB-0001 2023.04.24 清华大学学生公寓住宿管理办法 | 5:STGPUB-0001 2023.04.24 清华大学学生公寓住宿管理办法</x:v>
      </x:c>
      <x:c r="D6" s="11" t="str">
        <x:v>1:STGPUB-0001 2023.04.24 清华大学学生公寓住宿管理办法 | 2:STGPUB-0007 住宿注意事项 | 3:STGPUB-0001 2023.04.24 清华大学学生公寓住宿管理办法 | 4:STGPUB-0001 2023.04.24 清华大学学生公寓住宿管理办法 | 5:STGPUB-0001 2023.04.24 清华大学学生公寓住宿管理办法</x:v>
      </x:c>
      <x:c r="E6" s="11" t="str">
        <x:v>1:STGPUB-0001 2023.04.24 清华大学学生公寓住宿管理办法 | 2:STGPUB-0007 住宿注意事项 | 3:STGPUB-0001 2023.04.24 清华大学学生公寓住宿管理办法 | 4:STGPUB-0001 2023.04.24 清华大学学生公寓住宿管理办法 | 5:STGPUB-0001 2023.04.24 清华大学学生公寓住宿管理办法</x:v>
      </x:c>
      <x:c r="F6" s="11" t="str">
        <x:v>1:STGPUB-0001 2023.04.24 清华大学学生公寓住宿管理办法 | 2:STGPUB-0001 2023.04.24 清华大学学生公寓住宿管理办法 | 3:STGPUB-0007 住宿注意事项 | 4:STGPUB-0072 宿舍调整申请及办理流程 | 5:STGPUB-0007 住宿注意事项</x:v>
      </x:c>
      <x:c r="G6" s="11" t="str">
        <x:v>住宿服务</x:v>
      </x:c>
      <x:c r="H6" s="11" t="str">
        <x:v>STGPUB-0001</x:v>
      </x:c>
      <x:c r="I6" s="11" t="str">
        <x:v>tfidf=False; dense=False; hybrid=False; hybrid_rerank=True</x:v>
      </x:c>
      <x:c r="J6" s="11" t="str">
        <x:v>tfidf=True; dense=True; hybrid=True; hybrid_rerank=True</x:v>
      </x:c>
      <x:c r="K6" s="11" t="str">
        <x:v>pass</x:v>
      </x:c>
      <x:c r="L6" s="11" t="str">
        <x:v>pass</x:v>
      </x:c>
      <x:c r="M6" s="11" t="str">
        <x:v>unchanged</x:v>
      </x:c>
      <x:c r="N6" s="11" t="str">
        <x:v>Evidence remains adequate at the previous verdict level; retrieval ranks may differ but no source ceiling changed.</x:v>
      </x:c>
    </x:row>
    <x:row r="7">
      <x:c r="A7" s="11" t="str">
        <x:v>RET-03</x:v>
      </x:c>
      <x:c r="B7" s="11" t="str">
        <x:v>清华校园网如何接入，账号或网络故障如何处理？</x:v>
      </x:c>
      <x:c r="C7" s="11" t="str">
        <x:v>1:STGPUB-0104 校园网络运行 | 2:STGPUB-0106 用户服务 | 3:STGPUB-0104 校园网络运行 | 4:STGPUB-0104 校园网络运行 | 5:STGPUB-0011 学生职业发展协会</x:v>
      </x:c>
      <x:c r="D7" s="11" t="str">
        <x:v>1:STGPUB-0106 用户服务 | 2:STGPUB-0104 校园网络运行 | 3:STGPUB-0104 校园网络运行 | 4:STGPUB-0152 联系我们-清华大学图书馆 | 5:STGPUB-0032 清华大学学生社区管理服务中心</x:v>
      </x:c>
      <x:c r="E7" s="11" t="str">
        <x:v>1:STGPUB-0106 用户服务 | 2:STGPUB-0104 校园网络运行 | 3:STGPUB-0104 校园网络运行 | 4:STGPUB-0125 关于保护电子资源知识产权的公告-清华大学图书馆 | 5:STGPUB-0104 校园网络运行</x:v>
      </x:c>
      <x:c r="F7" s="11" t="str">
        <x:v>1:STGPUB-0125 关于保护电子资源知识产权的公告-清华大学图书馆 | 2:STGPUB-0104 校园网络运行 | 3:STGPUB-0108 联系我们 | 4:STGPUB-0002 2026.03.18 大学生活须知 | 5:STGPUB-0106 用户服务</x:v>
      </x:c>
      <x:c r="G7" s="11" t="str">
        <x:v>网络与信息化</x:v>
      </x:c>
      <x:c r="H7" s="11" t="str">
        <x:v>STGPUB-0104</x:v>
      </x:c>
      <x:c r="I7" s="11" t="str">
        <x:v>tfidf=True; dense=True; hybrid=True; hybrid_rerank=True</x:v>
      </x:c>
      <x:c r="J7" s="11" t="str">
        <x:v>tfidf=True; dense=True; hybrid=True; hybrid_rerank=True</x:v>
      </x:c>
      <x:c r="K7" s="11" t="str">
        <x:v>pass</x:v>
      </x:c>
      <x:c r="L7" s="11" t="str">
        <x:v>pass</x:v>
      </x:c>
      <x:c r="M7" s="11" t="str">
        <x:v>unchanged</x:v>
      </x:c>
      <x:c r="N7" s="11" t="str">
        <x:v>Evidence remains adequate at the previous verdict level; retrieval ranks may differ but no source ceiling changed.</x:v>
      </x:c>
    </x:row>
    <x:row r="8">
      <x:c r="A8" s="11" t="str">
        <x:v>RET-04</x:v>
      </x:c>
      <x:c r="B8" s="11" t="str">
        <x:v>清华校医院门诊、报销和就医流程是什么？</x:v>
      </x:c>
      <x:c r="C8" s="11" t="str">
        <x:v>1:STGPUB-0085 北京华信医院（清华大学第一附属医院） | 2:STGPUB-0089 校医院 | 3:STGPUB-0089 校医院 | 4:RESV1-0015 生育医疗报销程序 - 清华大学信息门户 | 5:STGPUB-0089 校医院</x:v>
      </x:c>
      <x:c r="D8" s="11" t="str">
        <x:v>1:STGPUB-0092 清华大学玉泉医院 | 2:STGPUB-0085 北京华信医院（清华大学第一附属医院） | 3:STGPUB-0085 北京华信医院（清华大学第一附属医院） | 4:STGPUB-0085 北京华信医院（清华大学第一附属医院） | 5:STGPUB-0085 北京华信医院（清华大学第一附属医院）</x:v>
      </x:c>
      <x:c r="E8" s="11" t="str">
        <x:v>1:RESV1-0015 生育医疗报销程序 - 清华大学信息门户 | 2:STGPUB-0085 北京华信医院（清华大学第一附属医院） | 3:STGPUB-0089 校医院 | 4:STGPUB-0092 清华大学玉泉医院 | 5:STGPUB-0085 北京华信医院（清华大学第一附属医院）</x:v>
      </x:c>
      <x:c r="F8" s="11" t="str">
        <x:v>1:RESV1-0015 生育医疗报销程序 - 清华大学信息门户 | 2:STGPUB-0089 校医院 | 3:RESV1-0015 生育医疗报销程序 - 清华大学信息门户 | 4:STGPUB-0089 校医院 | 5:STGPUB-0089 校医院</x:v>
      </x:c>
      <x:c r="G8" s="11" t="str">
        <x:v>医疗健康</x:v>
      </x:c>
      <x:c r="H8" s="11" t="str">
        <x:v>expected_source_uncertain</x:v>
      </x:c>
      <x:c r="I8" s="11" t="str">
        <x:v>tfidf=True; dense=True; hybrid=True; hybrid_rerank=True</x:v>
      </x:c>
      <x:c r="J8" s="11" t="str">
        <x:v>tfidf=False; dense=False; hybrid=False; hybrid_rerank=False</x:v>
      </x:c>
      <x:c r="K8" s="11" t="str">
        <x:v>pass</x:v>
      </x:c>
      <x:c r="L8" s="11" t="str">
        <x:v>pass</x:v>
      </x:c>
      <x:c r="M8" s="11" t="str">
        <x:v>unchanged</x:v>
      </x:c>
      <x:c r="N8" s="11" t="str">
        <x:v>Evidence remains adequate at the previous verdict level; retrieval ranks may differ but no source ceiling changed.</x:v>
      </x:c>
    </x:row>
    <x:row r="9">
      <x:c r="A9" s="11" t="str">
        <x:v>RET-05</x:v>
      </x:c>
      <x:c r="B9" s="11" t="str">
        <x:v>清华大学图书馆如何借书、使用电子资源和查询开放时间？</x:v>
      </x:c>
      <x:c r="C9" s="11" t="str">
        <x:v>1:STGPUB-0125 关于保护电子资源知识产权的公告-清华大学图书馆 | 2:STGPUB-0151 清华大学图书馆维护知识产权声明-清华大学图书馆 | 3:STGPUB-0157 馆舍布局 | 4:STGPUB-0234 馆长致辞-清华大学图书馆 | 5:STGPUB-0234 馆长致辞-清华大学图书馆</x:v>
      </x:c>
      <x:c r="D9" s="11" t="str">
        <x:v>1:STGPUB-0140 常见问题（FAQ） | 2:STGPUB-0113 M-清华大学图书馆 | 3:STGPUB-0141 开放科学-清华大学图书馆 | 4:STGPUB-0140 常见问题（FAQ） | 5:STGPUB-0205 美国计算机协会（ACM）开放获取（OA）政策-清华大学图书馆</x:v>
      </x:c>
      <x:c r="E9" s="11" t="str">
        <x:v>1:STGPUB-0140 常见问题（FAQ） | 2:STGPUB-0234 馆长致辞-清华大学图书馆 | 3:STGPUB-0125 关于保护电子资源知识产权的公告-清华大学图书馆 | 4:STGPUB-0157 馆舍布局 | 5:STGPUB-0130 参考咨询</x:v>
      </x:c>
      <x:c r="F9" s="11" t="str">
        <x:v>1:STGPUB-0140 常见问题（FAQ） | 2:STGPUB-0157 馆舍布局 | 3:STGPUB-0130 参考咨询 | 4:STGPUB-0125 关于保护电子资源知识产权的公告-清华大学图书馆 | 5:STGPUB-0234 馆长致辞-清华大学图书馆</x:v>
      </x:c>
      <x:c r="G9" s="11" t="str">
        <x:v>图书馆服务</x:v>
      </x:c>
      <x:c r="H9" s="11" t="str">
        <x:v>expected_source_uncertain</x:v>
      </x:c>
      <x:c r="I9" s="11" t="str">
        <x:v>tfidf=True; dense=True; hybrid=True; hybrid_rerank=True</x:v>
      </x:c>
      <x:c r="J9" s="11" t="str">
        <x:v>tfidf=False; dense=False; hybrid=False; hybrid_rerank=False</x:v>
      </x:c>
      <x:c r="K9" s="11" t="str">
        <x:v>partial</x:v>
      </x:c>
      <x:c r="L9" s="11" t="str">
        <x:v>partial</x:v>
      </x:c>
      <x:c r="M9" s="11" t="str">
        <x:v>unchanged</x:v>
      </x:c>
      <x:c r="N9" s="11" t="str">
        <x:v>Library composite request spans multiple service documents; retrieval can gather fragments but no single complete source exists.</x:v>
      </x:c>
    </x:row>
    <x:row r="10">
      <x:c r="A10" s="11" t="str">
        <x:v>RET-06</x:v>
      </x:c>
      <x:c r="B10" s="11" t="str">
        <x:v>清华学生奖学金、助学金申请和评选办法是什么？</x:v>
      </x:c>
      <x:c r="C10" s="11" t="str">
        <x:v>1:STGPUB-0029 清华大学学生奖学金管理规定 | 2:RESV1-0016 清华大学特等奖学金评选办法 - 清华大学信息门户 | 3:RESV1-0016 清华大学特等奖学金评选办法 - 清华大学信息门户 | 4:STGPUB-0029 清华大学学生奖学金管理规定 | 5:STGPUB-0029 清华大学学生奖学金管理规定</x:v>
      </x:c>
      <x:c r="D10" s="11" t="str">
        <x:v>1:RESV1-0016 清华大学特等奖学金评选办法 - 清华大学信息门户 | 2:RESV1-0016 清华大学特等奖学金评选办法 - 清华大学信息门户 | 3:STGPUB-0029 清华大学学生奖学金管理规定 | 4:STGPUB-0029 清华大学学生奖学金管理规定 | 5:STGPUB-0081 清华大学学生困难补助管理办法</x:v>
      </x:c>
      <x:c r="E10" s="11" t="str">
        <x:v>1:RESV1-0016 清华大学特等奖学金评选办法 - 清华大学信息门户 | 2:STGPUB-0029 清华大学学生奖学金管理规定 | 3:RESV1-0016 清华大学特等奖学金评选办法 - 清华大学信息门户 | 4:STGPUB-0029 清华大学学生奖学金管理规定 | 5:STGPUB-0061 资助体系-清华大学研究生院</x:v>
      </x:c>
      <x:c r="F10" s="11" t="str">
        <x:v>1:STGPUB-0023 清华大学国家助学金评审实施细则 | 2:RESV1-0016 清华大学特等奖学金评选办法 - 清华大学信息门户 | 3:RESV1-0016 清华大学特等奖学金评选办法 - 清华大学信息门户 | 4:STGPUB-0081 清华大学学生困难补助管理办法 | 5:STGPUB-0029 清华大学学生奖学金管理规定</x:v>
      </x:c>
      <x:c r="G10" s="11" t="str">
        <x:v>奖助与资助</x:v>
      </x:c>
      <x:c r="H10" s="11" t="str">
        <x:v>STGPUB-0029</x:v>
      </x:c>
      <x:c r="I10" s="11" t="str">
        <x:v>tfidf=True; dense=True; hybrid=True; hybrid_rerank=True</x:v>
      </x:c>
      <x:c r="J10" s="11" t="str">
        <x:v>tfidf=True; dense=True; hybrid=True; hybrid_rerank=True</x:v>
      </x:c>
      <x:c r="K10" s="11" t="str">
        <x:v>pass</x:v>
      </x:c>
      <x:c r="L10" s="11" t="str">
        <x:v>pass</x:v>
      </x:c>
      <x:c r="M10" s="11" t="str">
        <x:v>unchanged</x:v>
      </x:c>
      <x:c r="N10" s="11" t="str">
        <x:v>Evidence remains adequate at the previous verdict level; retrieval ranks may differ but no source ceiling changed.</x:v>
      </x:c>
    </x:row>
    <x:row r="11">
      <x:c r="A11" s="11" t="str">
        <x:v>RET-07</x:v>
      </x:c>
      <x:c r="B11" s="11" t="str">
        <x:v>清华学生如何获得就业指导、招聘与职业咨询？</x:v>
      </x:c>
      <x:c r="C11" s="11" t="str">
        <x:v>1:STGPUB-0005 个体咨询（校内导师） | 2:STGPUB-0011 学生职业发展协会 | 3:STGPUB-0005 个体咨询（校内导师） | 4:STGPUB-0181 学生就业服务协会 | 5:STGPUB-0005 个体咨询（校内导师）</x:v>
      </x:c>
      <x:c r="D11" s="11" t="str">
        <x:v>1:STGPUB-0005 个体咨询（校内导师） | 2:STGPUB-0011 学生职业发展协会 | 3:STGPUB-0005 个体咨询（校内导师） | 4:STGPUB-0005 个体咨询（校内导师） | 5:STGPUB-0005 个体咨询（校内导师）</x:v>
      </x:c>
      <x:c r="E11" s="11" t="str">
        <x:v>1:STGPUB-0011 学生职业发展协会 | 2:STGPUB-0005 个体咨询（校内导师） | 3:STGPUB-0005 个体咨询（校内导师） | 4:STGPUB-0005 个体咨询（校内导师） | 5:STGPUB-0005 个体咨询（校内导师）</x:v>
      </x:c>
      <x:c r="F11" s="11" t="str">
        <x:v>1:STGPUB-0005 个体咨询（校内导师） | 2:STGPUB-0005 个体咨询（校内导师） | 3:STGPUB-0005 个体咨询（校内导师） | 4:STGPUB-0011 学生职业发展协会 | 5:STGPUB-0005 个体咨询（校内导师）</x:v>
      </x:c>
      <x:c r="G11" s="11" t="str">
        <x:v>就业与职业发展</x:v>
      </x:c>
      <x:c r="H11" s="11" t="str">
        <x:v>expected_source_uncertain</x:v>
      </x:c>
      <x:c r="I11" s="11" t="str">
        <x:v>tfidf=True; dense=False; hybrid=False; hybrid_rerank=False</x:v>
      </x:c>
      <x:c r="J11" s="11" t="str">
        <x:v>tfidf=False; dense=False; hybrid=False; hybrid_rerank=False</x:v>
      </x:c>
      <x:c r="K11" s="11" t="str">
        <x:v>pass</x:v>
      </x:c>
      <x:c r="L11" s="11" t="str">
        <x:v>pass</x:v>
      </x:c>
      <x:c r="M11" s="11" t="str">
        <x:v>unchanged</x:v>
      </x:c>
      <x:c r="N11" s="11" t="str">
        <x:v>Evidence remains adequate at the previous verdict level; retrieval ranks may differ but no source ceiling changed.</x:v>
      </x:c>
    </x:row>
    <x:row r="12">
      <x:c r="A12" s="11" t="str">
        <x:v>RET-08</x:v>
      </x:c>
      <x:c r="B12" s="11" t="str">
        <x:v>校内食堂、餐饮服务和就餐信息在哪里查询？</x:v>
      </x:c>
      <x:c r="C12" s="11" t="str">
        <x:v>1:STGPUB-0071 学生食堂 | 2:STGPUB-0079 饮食服务中心 | 3:STGPUB-0074 教工餐厅 | 4:STGPUB-0074 教工餐厅 | 5:STGPUB-0071 学生食堂</x:v>
      </x:c>
      <x:c r="D12" s="11" t="str">
        <x:v>1:STGPUB-0071 学生食堂 | 2:STGPUB-0079 饮食服务中心 | 3:STGPUB-0078 商贸与食品安全管理中心 | 4:STGPUB-0152 联系我们-清华大学图书馆 | 5:STGPUB-0074 教工餐厅</x:v>
      </x:c>
      <x:c r="E12" s="11" t="str">
        <x:v>1:STGPUB-0071 学生食堂 | 2:STGPUB-0079 饮食服务中心 | 3:STGPUB-0074 教工餐厅 | 4:STGPUB-0074 教工餐厅 | 5:STGPUB-0071 学生食堂</x:v>
      </x:c>
      <x:c r="F12" s="11" t="str">
        <x:v>1:STGPUB-0071 学生食堂 | 2:STGPUB-0075 特色餐厅 | 3:STGPUB-0074 教工餐厅 | 4:STGPUB-0078 商贸与食品安全管理中心 | 5:STGPUB-0074 教工餐厅</x:v>
      </x:c>
      <x:c r="G12" s="11" t="str">
        <x:v>餐饮服务</x:v>
      </x:c>
      <x:c r="H12" s="11" t="str">
        <x:v>STGPUB-0079</x:v>
      </x:c>
      <x:c r="I12" s="11" t="str">
        <x:v>tfidf=True; dense=True; hybrid=True; hybrid_rerank=True</x:v>
      </x:c>
      <x:c r="J12" s="11" t="str">
        <x:v>tfidf=True; dense=True; hybrid=True; hybrid_rerank=False</x:v>
      </x:c>
      <x:c r="K12" s="11" t="str">
        <x:v>pass</x:v>
      </x:c>
      <x:c r="L12" s="11" t="str">
        <x:v>pass</x:v>
      </x:c>
      <x:c r="M12" s="11" t="str">
        <x:v>unchanged</x:v>
      </x:c>
      <x:c r="N12" s="11" t="str">
        <x:v>Evidence remains adequate at the previous verdict level; retrieval ranks may differ but no source ceiling changed.</x:v>
      </x:c>
    </x:row>
    <x:row r="13">
      <x:c r="A13" s="11" t="str">
        <x:v>RET-09</x:v>
      </x:c>
      <x:c r="B13" s="11" t="str">
        <x:v>校园交通、校车和进出校路线怎么查询？</x:v>
      </x:c>
      <x:c r="C13" s="11" t="str">
        <x:v>1:STGPUB-0073 接待服务中心 | 2:STGPUB-0077 车辆-清华大学接待服务中心 | 3:STGPUB-0226 科室职能 | 4:STGPUB-0228 部门职能 | 5:STGPUB-0131 古地图库数据库开通试用(2026年5月28日-2026年12月31日)-清华大学图书馆</x:v>
      </x:c>
      <x:c r="D13" s="11" t="str">
        <x:v>1:STGPUB-0077 车辆-清华大学接待服务中心 | 2:STGPUB-0077 车辆-清华大学接待服务中心 | 3:STGPUB-0077 车辆-清华大学接待服务中心 | 4:STGPUB-0226 科室职能 | 5:STGPUB-0152 联系我们-清华大学图书馆</x:v>
      </x:c>
      <x:c r="E13" s="11" t="str">
        <x:v>1:STGPUB-0077 车辆-清华大学接待服务中心 | 2:STGPUB-0226 科室职能 | 3:STGPUB-0077 车辆-清华大学接待服务中心 | 4:STGPUB-0228 部门职能 | 5:STGPUB-0012 学生转档-清华大学档案馆</x:v>
      </x:c>
      <x:c r="F13" s="11" t="str">
        <x:v>1:STGPUB-0077 车辆-清华大学接待服务中心 | 2:STGPUB-0077 车辆-清华大学接待服务中心 | 3:STGPUB-0131 古地图库数据库开通试用(2026年5月28日-2026年12月31日)-清华大学图书馆 | 4:STGPUB-0077 车辆-清华大学接待服务中心 | 5:STGPUB-0012 学生转档-清华大学档案馆</x:v>
      </x:c>
      <x:c r="G13" s="11" t="str">
        <x:v>交通服务</x:v>
      </x:c>
      <x:c r="H13" s="11" t="str">
        <x:v>expected_source_uncertain</x:v>
      </x:c>
      <x:c r="I13" s="11" t="str">
        <x:v>tfidf=False; dense=False; hybrid=False; hybrid_rerank=False</x:v>
      </x:c>
      <x:c r="J13" s="11" t="str">
        <x:v>tfidf=False; dense=False; hybrid=False; hybrid_rerank=False</x:v>
      </x:c>
      <x:c r="K13" s="11" t="str">
        <x:v>fail</x:v>
      </x:c>
      <x:c r="L13" s="11" t="str">
        <x:v>fail</x:v>
      </x:c>
      <x:c r="M13" s="11" t="str">
        <x:v>unchanged</x:v>
      </x:c>
      <x:c r="N13" s="11" t="str">
        <x:v>Source Quality Failure: the corpus lacks an adequate campus-transport service document; the traffic-labelled source is not sufficient.</x:v>
      </x:c>
    </x:row>
    <x:row r="14">
      <x:c r="A14" s="11" t="str">
        <x:v>RET-10</x:v>
      </x:c>
      <x:c r="B14" s="11" t="str">
        <x:v>体育场馆如何预约、查询开放时间和使用规则？</x:v>
      </x:c>
      <x:c r="C14" s="11" t="str">
        <x:v>1:STGPUB-0159 体育设施 | 2:STGPUB-0162 综合体育馆 综合体育馆于2000年建成，总建筑面积 12547.85平米，总观众席位4502个，可满足国际比赛 | 3:STGPUB-0060 课程设置与实施 | 4:STGPUB-0185 2026经济与金融数据课堂第五讲 | 利用排排网私募数据库进行金融研究-清华大学图书馆 | 5:STGPUB-0140 常见问题（FAQ）</x:v>
      </x:c>
      <x:c r="D14" s="11" t="str">
        <x:v>1:STGPUB-0159 体育设施 | 2:STGPUB-0162 综合体育馆 综合体育馆于2000年建成，总建筑面积 12547.85平米，总观众席位4502个，可满足国际比赛 | 3:STGPUB-0013 应用导航 - 学生清华 | 4:STGPUB-0170 Accommodation | 5:STGPUB-0003 Visa Procedures-Tsinghua International Students &amp; Schol</x:v>
      </x:c>
      <x:c r="E14" s="11" t="str">
        <x:v>1:STGPUB-0159 体育设施 | 2:STGPUB-0162 综合体育馆 综合体育馆于2000年建成，总建筑面积 12547.85平米，总观众席位4502个，可满足国际比赛 | 3:STGPUB-0013 应用导航 - 学生清华 | 4:STGPUB-0154 读者咨询 | 5:STGPUB-0022 测试预约和缴费 2021-11-15</x:v>
      </x:c>
      <x:c r="F14" s="11" t="str">
        <x:v>1:STGPUB-0013 应用导航 - 学生清华 | 2:STGPUB-0008 办事指南-清华大学未央书院 | 3:STGPUB-0005 个体咨询（校内导师） | 4:STGPUB-0022 测试预约和缴费 2021-11-15 | 5:STGPUB-0154 读者咨询</x:v>
      </x:c>
      <x:c r="G14" s="11" t="str">
        <x:v>体育与场馆</x:v>
      </x:c>
      <x:c r="H14" s="11" t="str">
        <x:v>STGPUB-0159</x:v>
      </x:c>
      <x:c r="I14" s="11" t="str">
        <x:v>tfidf=True; dense=True; hybrid=True; hybrid_rerank=False</x:v>
      </x:c>
      <x:c r="J14" s="11" t="str">
        <x:v>tfidf=True; dense=True; hybrid=True; hybrid_rerank=False</x:v>
      </x:c>
      <x:c r="K14" s="11" t="str">
        <x:v>pass</x:v>
      </x:c>
      <x:c r="L14" s="11" t="str">
        <x:v>pass</x:v>
      </x:c>
      <x:c r="M14" s="11" t="str">
        <x:v>unchanged</x:v>
      </x:c>
      <x:c r="N14" s="11" t="str">
        <x:v>Evidence remains adequate at the previous verdict level; retrieval ranks may differ but no source ceiling changed.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8e2b2a797b04c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2" t="str">
        <x:v>Smoke Verdict Summary</x:v>
      </x:c>
      <x:c r="B1" s="2"/>
      <x:c r="C1" s="2"/>
    </x:row>
    <x:row r="3">
      <x:c r="A3" s="12" t="str">
        <x:v>verdict</x:v>
      </x:c>
      <x:c r="B3" s="12" t="str">
        <x:v>V0 count</x:v>
      </x:c>
      <x:c r="C3" s="12" t="str">
        <x:v>V1 count</x:v>
      </x:c>
    </x:row>
    <x:row r="4">
      <x:c r="A4" t="str">
        <x:v>pass</x:v>
      </x:c>
      <x:c r="B4" t="n">
        <x:f>COUNTIF('V0 vs V1 Smoke'!K5:K14,A4)</x:f>
        <x:v>7</x:v>
      </x:c>
      <x:c r="C4" t="n">
        <x:f>COUNTIF('V0 vs V1 Smoke'!L5:L14,A4)</x:f>
        <x:v>7</x:v>
      </x:c>
    </x:row>
    <x:row r="5">
      <x:c r="A5" t="str">
        <x:v>partial</x:v>
      </x:c>
      <x:c r="B5" t="n">
        <x:f>COUNTIF('V0 vs V1 Smoke'!K5:K14,A5)</x:f>
        <x:v>2</x:v>
      </x:c>
      <x:c r="C5" t="n">
        <x:f>COUNTIF('V0 vs V1 Smoke'!L5:L14,A5)</x:f>
        <x:v>2</x:v>
      </x:c>
    </x:row>
    <x:row r="6">
      <x:c r="A6" t="str">
        <x:v>fail</x:v>
      </x:c>
      <x:c r="B6" t="n">
        <x:f>COUNTIF('V0 vs V1 Smoke'!K5:K14,A6)</x:f>
        <x:v>1</x:v>
      </x:c>
      <x:c r="C6" t="n">
        <x:f>COUNTIF('V0 vs V1 Smoke'!L5:L14,A6)</x:f>
        <x:v>1</x:v>
      </x:c>
    </x:row>
    <x:row r="8">
      <x:c r="A8" s="12" t="str">
        <x:v>change</x:v>
      </x:c>
      <x:c r="B8" s="12" t="str">
        <x:v>count</x:v>
      </x:c>
    </x:row>
    <x:row r="9">
      <x:c r="A9" t="str">
        <x:v>improved</x:v>
      </x:c>
      <x:c r="B9" t="n">
        <x:f>COUNTIF('V0 vs V1 Smoke'!M5:M14,A9)</x:f>
        <x:v>0</x:v>
      </x:c>
    </x:row>
    <x:row r="10">
      <x:c r="A10" t="str">
        <x:v>unchanged</x:v>
      </x:c>
      <x:c r="B10" t="n">
        <x:f>COUNTIF('V0 vs V1 Smoke'!M5:M14,A10)</x:f>
        <x:v>10</x:v>
      </x:c>
    </x:row>
    <x:row r="11">
      <x:c r="A11" t="str">
        <x:v>degraded</x:v>
      </x:c>
      <x:c r="B11" t="n">
        <x:f>COUNTIF('V0 vs V1 Smoke'!M5:M14,A11)</x:f>
        <x:v>0</x:v>
      </x:c>
    </x:row>
  </x:sheetData>
  <x:mergeCells>
    <x:mergeCell ref="A1:C1"/>
  </x:mergeCells>
  <x:pageMargins left="0.7" right="0.7" top="0.75" bottom="0.75" header="0.3" footer="0.3"/>
</x:worksheet>
</file>