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e8dee5bb374d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ry Set" sheetId="1" r:id="R59af358a047b4f46"/>
    <x:sheet xmlns:r="http://schemas.openxmlformats.org/officeDocument/2006/relationships" name="Coverage" sheetId="2" r:id="Rb037f14b8e4b4e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34155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0F6"/>
      </x:patternFill>
    </x:fill>
    <x:fill>
      <x:patternFill patternType="solid">
        <x:fgColor rgb="FF2B6F77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87cd86bc0b47af" /><Relationship Type="http://schemas.openxmlformats.org/officeDocument/2006/relationships/theme" Target="/xl/theme/theme1.xml" Id="R29cf30ce39a749b2" /><Relationship Type="http://schemas.openxmlformats.org/officeDocument/2006/relationships/sharedStrings" Target="/xl/sharedStrings.xml" Id="R84c93c38bba94ca9" /><Relationship Type="http://schemas.openxmlformats.org/officeDocument/2006/relationships/worksheet" Target="/xl/worksheets/sheet1.xml" Id="R59af358a047b4f46" /><Relationship Type="http://schemas.openxmlformats.org/officeDocument/2006/relationships/worksheet" Target="/xl/worksheets/sheet2.xml" Id="Rb037f14b8e4b4e86" /></Relationships>
</file>

<file path=xl/tables/table1.xml><?xml version="1.0" encoding="utf-8"?>
<x:table xmlns:x="http://schemas.openxmlformats.org/spreadsheetml/2006/main" id="1" name="RagV1EvalSet" displayName="RagV1EvalSet" ref="A4:J42" headerRowCount="1" totalsRowCount="0" totalsRowShown="0">
  <x:tableColumns count="10">
    <x:tableColumn id="1" name="query_id"/>
    <x:tableColumn id="2" name="query"/>
    <x:tableColumn id="3" name="category"/>
    <x:tableColumn id="4" name="expected_source_id"/>
    <x:tableColumn id="5" name="expected_title"/>
    <x:tableColumn id="6" name="expected_evidence_keyword"/>
    <x:tableColumn id="7" name="provenance"/>
    <x:tableColumn id="8" name="eval_status"/>
    <x:tableColumn id="9" name="expected_source_status"/>
    <x:tableColumn id="10" name="previous_v0_verdic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verageByCategory" displayName="CoverageByCategory" ref="A10:D25" headerRowCount="1" totalsRowCount="0" totalsRowShown="0">
  <x:tableColumns count="4">
    <x:tableColumn id="1" name="category"/>
    <x:tableColumn id="2" name="all queries"/>
    <x:tableColumn id="3" name="existing smoke"/>
    <x:tableColumn id="4" name="provision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954202206c6460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4664dae6fef47c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5" hidden="0" customWidth="1"/>
    <x:col min="3" max="3" width="20" hidden="0" customWidth="1"/>
    <x:col min="4" max="4" width="18" hidden="0" customWidth="1"/>
    <x:col min="5" max="5" width="38" hidden="0" customWidth="1"/>
    <x:col min="6" max="6" width="30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30" customHeight="1">
      <x:c r="A1" s="3" t="str">
        <x:v>RAG V1 Retrieval Evaluation Set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8" customHeight="1">
      <x:c r="A2" s="6" t="str">
        <x:v>10 Existing Smoke queries are frozen verbatim; added queries are explicitly PROVISIONAL_EVAL, not Gold Evaluation.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 ht="34" customHeight="1">
      <x:c r="A4" s="10" t="str">
        <x:v>query_id</x:v>
      </x:c>
      <x:c r="B4" s="10" t="str">
        <x:v>query</x:v>
      </x:c>
      <x:c r="C4" s="10" t="str">
        <x:v>category</x:v>
      </x:c>
      <x:c r="D4" s="10" t="str">
        <x:v>expected_source_id</x:v>
      </x:c>
      <x:c r="E4" s="10" t="str">
        <x:v>expected_title</x:v>
      </x:c>
      <x:c r="F4" s="10" t="str">
        <x:v>expected_evidence_keyword</x:v>
      </x:c>
      <x:c r="G4" s="10" t="str">
        <x:v>provenance</x:v>
      </x:c>
      <x:c r="H4" s="10" t="str">
        <x:v>eval_status</x:v>
      </x:c>
      <x:c r="I4" s="10" t="str">
        <x:v>expected_source_status</x:v>
      </x:c>
      <x:c r="J4" s="10" t="str">
        <x:v>previous_v0_verdict</x:v>
      </x:c>
    </x:row>
    <x:row r="5">
      <x:c r="A5" s="12" t="str">
        <x:v>RET-01</x:v>
      </x:c>
      <x:c r="B5" s="12" t="str">
        <x:v>如何查询清华大学本科生学籍、注册与培养管理规定？</x:v>
      </x:c>
      <x:c r="C5" s="12" t="str">
        <x:v>教务与学籍</x:v>
      </x:c>
      <x:c r="D5" s="12" t="str">
        <x:v>STGPUB-0047</x:v>
      </x:c>
      <x:c r="E5" s="12" t="str">
        <x:v>清华大学本科生学籍管理规定 为了规范学籍管理工作，维护学校正常的教育教学秩序，保证教学培养质量，保障学生合法权益，根据《中华人民共和国高等教育法》以及《普通高等学校学生管理规定》（教育部令第41号）、《清华大学章程》，结合学校...</x:v>
      </x:c>
      <x:c r="F5" s="12" t="str">
        <x:v>学籍管理|入学与注册</x:v>
      </x:c>
      <x:c r="G5" s="12" t="str">
        <x:v>RAG V0 existing smoke; query unchanged; expected source added from corpus inspection</x:v>
      </x:c>
      <x:c r="H5" s="12" t="str">
        <x:v>EXISTING_SMOKE</x:v>
      </x:c>
      <x:c r="I5" s="12" t="str">
        <x:v>reliable</x:v>
      </x:c>
      <x:c r="J5" s="12" t="str">
        <x:v>partial</x:v>
      </x:c>
    </x:row>
    <x:row r="6">
      <x:c r="A6" s="12" t="str">
        <x:v>RET-02</x:v>
      </x:c>
      <x:c r="B6" s="12" t="str">
        <x:v>学生公寓住宿规定、入住和退宿怎么办？</x:v>
      </x:c>
      <x:c r="C6" s="12" t="str">
        <x:v>住宿服务</x:v>
      </x:c>
      <x:c r="D6" s="12" t="str">
        <x:v>STGPUB-0001</x:v>
      </x:c>
      <x:c r="E6" s="12" t="str">
        <x:v>2023.04.24 清华大学学生公寓住宿管理办法</x:v>
      </x:c>
      <x:c r="F6" s="12" t="str">
        <x:v>学生公寓|住宿管理</x:v>
      </x:c>
      <x:c r="G6" s="12" t="str">
        <x:v>RAG V0 existing smoke; query unchanged; expected source added from corpus inspection</x:v>
      </x:c>
      <x:c r="H6" s="12" t="str">
        <x:v>EXISTING_SMOKE</x:v>
      </x:c>
      <x:c r="I6" s="12" t="str">
        <x:v>reliable</x:v>
      </x:c>
      <x:c r="J6" s="12" t="str">
        <x:v>pass</x:v>
      </x:c>
    </x:row>
    <x:row r="7">
      <x:c r="A7" s="12" t="str">
        <x:v>RET-03</x:v>
      </x:c>
      <x:c r="B7" s="12" t="str">
        <x:v>清华校园网如何接入，账号或网络故障如何处理？</x:v>
      </x:c>
      <x:c r="C7" s="12" t="str">
        <x:v>网络与信息化</x:v>
      </x:c>
      <x:c r="D7" s="12" t="str">
        <x:v>STGPUB-0104</x:v>
      </x:c>
      <x:c r="E7" s="12" t="str">
        <x:v>校园网络运行</x:v>
      </x:c>
      <x:c r="F7" s="12" t="str">
        <x:v>校园网络|网络运行</x:v>
      </x:c>
      <x:c r="G7" s="12" t="str">
        <x:v>RAG V0 existing smoke; query unchanged; expected source added from corpus inspection</x:v>
      </x:c>
      <x:c r="H7" s="12" t="str">
        <x:v>EXISTING_SMOKE</x:v>
      </x:c>
      <x:c r="I7" s="12" t="str">
        <x:v>reliable</x:v>
      </x:c>
      <x:c r="J7" s="12" t="str">
        <x:v>pass</x:v>
      </x:c>
    </x:row>
    <x:row r="8">
      <x:c r="A8" s="12" t="str">
        <x:v>RET-04</x:v>
      </x:c>
      <x:c r="B8" s="12" t="str">
        <x:v>清华校医院门诊、报销和就医流程是什么？</x:v>
      </x:c>
      <x:c r="C8" s="12" t="str">
        <x:v>医疗健康</x:v>
      </x:c>
      <x:c r="D8" s="12"/>
      <x:c r="E8" s="12" t="str"/>
      <x:c r="F8" s="12" t="str">
        <x:v>校医院|就医|报销</x:v>
      </x:c>
      <x:c r="G8" s="12" t="str">
        <x:v>RAG V0 existing smoke; query unchanged; composite intent has no single reliable expected source</x:v>
      </x:c>
      <x:c r="H8" s="12" t="str">
        <x:v>EXISTING_SMOKE</x:v>
      </x:c>
      <x:c r="I8" s="12" t="str">
        <x:v>expected_source_uncertain</x:v>
      </x:c>
      <x:c r="J8" s="12" t="str">
        <x:v>pass</x:v>
      </x:c>
    </x:row>
    <x:row r="9">
      <x:c r="A9" s="12" t="str">
        <x:v>RET-05</x:v>
      </x:c>
      <x:c r="B9" s="12" t="str">
        <x:v>清华大学图书馆如何借书、使用电子资源和查询开放时间？</x:v>
      </x:c>
      <x:c r="C9" s="12" t="str">
        <x:v>图书馆服务</x:v>
      </x:c>
      <x:c r="D9" s="12"/>
      <x:c r="E9" s="12" t="str"/>
      <x:c r="F9" s="12" t="str">
        <x:v>借阅|电子资源|开放时间</x:v>
      </x:c>
      <x:c r="G9" s="12" t="str">
        <x:v>RAG V0 existing smoke; query unchanged; composite intent requires multiple sources</x:v>
      </x:c>
      <x:c r="H9" s="12" t="str">
        <x:v>EXISTING_SMOKE</x:v>
      </x:c>
      <x:c r="I9" s="12" t="str">
        <x:v>expected_source_uncertain</x:v>
      </x:c>
      <x:c r="J9" s="12" t="str">
        <x:v>partial</x:v>
      </x:c>
    </x:row>
    <x:row r="10">
      <x:c r="A10" s="12" t="str">
        <x:v>RET-06</x:v>
      </x:c>
      <x:c r="B10" s="12" t="str">
        <x:v>清华学生奖学金、助学金申请和评选办法是什么？</x:v>
      </x:c>
      <x:c r="C10" s="12" t="str">
        <x:v>奖助与资助</x:v>
      </x:c>
      <x:c r="D10" s="12" t="str">
        <x:v>STGPUB-0029</x:v>
      </x:c>
      <x:c r="E10" s="12" t="str">
        <x:v>清华大学学生奖学金管理规定</x:v>
      </x:c>
      <x:c r="F10" s="12" t="str">
        <x:v>奖学金管理规定</x:v>
      </x:c>
      <x:c r="G10" s="12" t="str">
        <x:v>RAG V0 existing smoke; query unchanged; expected source added from corpus inspection</x:v>
      </x:c>
      <x:c r="H10" s="12" t="str">
        <x:v>EXISTING_SMOKE</x:v>
      </x:c>
      <x:c r="I10" s="12" t="str">
        <x:v>reliable</x:v>
      </x:c>
      <x:c r="J10" s="12" t="str">
        <x:v>pass</x:v>
      </x:c>
    </x:row>
    <x:row r="11">
      <x:c r="A11" s="12" t="str">
        <x:v>RET-07</x:v>
      </x:c>
      <x:c r="B11" s="12" t="str">
        <x:v>清华学生如何获得就业指导、招聘与职业咨询？</x:v>
      </x:c>
      <x:c r="C11" s="12" t="str">
        <x:v>就业与职业发展</x:v>
      </x:c>
      <x:c r="D11" s="12"/>
      <x:c r="E11" s="12" t="str"/>
      <x:c r="F11" s="12" t="str">
        <x:v>就业指导|职业咨询|招聘</x:v>
      </x:c>
      <x:c r="G11" s="12" t="str">
        <x:v>RAG V0 existing smoke; query unchanged; composite intent has multiple plausible sources</x:v>
      </x:c>
      <x:c r="H11" s="12" t="str">
        <x:v>EXISTING_SMOKE</x:v>
      </x:c>
      <x:c r="I11" s="12" t="str">
        <x:v>expected_source_uncertain</x:v>
      </x:c>
      <x:c r="J11" s="12" t="str">
        <x:v>pass</x:v>
      </x:c>
    </x:row>
    <x:row r="12">
      <x:c r="A12" s="12" t="str">
        <x:v>RET-08</x:v>
      </x:c>
      <x:c r="B12" s="12" t="str">
        <x:v>校内食堂、餐饮服务和就餐信息在哪里查询？</x:v>
      </x:c>
      <x:c r="C12" s="12" t="str">
        <x:v>餐饮服务</x:v>
      </x:c>
      <x:c r="D12" s="12" t="str">
        <x:v>STGPUB-0079</x:v>
      </x:c>
      <x:c r="E12" s="12" t="str">
        <x:v>饮食服务中心</x:v>
      </x:c>
      <x:c r="F12" s="12" t="str">
        <x:v>饮食服务中心</x:v>
      </x:c>
      <x:c r="G12" s="12" t="str">
        <x:v>RAG V0 existing smoke; query unchanged; expected source added from corpus inspection</x:v>
      </x:c>
      <x:c r="H12" s="12" t="str">
        <x:v>EXISTING_SMOKE</x:v>
      </x:c>
      <x:c r="I12" s="12" t="str">
        <x:v>reliable</x:v>
      </x:c>
      <x:c r="J12" s="12" t="str">
        <x:v>pass</x:v>
      </x:c>
    </x:row>
    <x:row r="13">
      <x:c r="A13" s="12" t="str">
        <x:v>RET-09</x:v>
      </x:c>
      <x:c r="B13" s="12" t="str">
        <x:v>校园交通、校车和进出校路线怎么查询？</x:v>
      </x:c>
      <x:c r="C13" s="12" t="str">
        <x:v>交通服务</x:v>
      </x:c>
      <x:c r="D13" s="12"/>
      <x:c r="E13" s="12" t="str"/>
      <x:c r="F13" s="12" t="str">
        <x:v>校车|校园交通|路线</x:v>
      </x:c>
      <x:c r="G13" s="12" t="str">
        <x:v>RAG V0 existing smoke; query unchanged; corpus inspection found no sufficient source</x:v>
      </x:c>
      <x:c r="H13" s="12" t="str">
        <x:v>EXISTING_SMOKE</x:v>
      </x:c>
      <x:c r="I13" s="12" t="str">
        <x:v>expected_source_uncertain</x:v>
      </x:c>
      <x:c r="J13" s="12" t="str">
        <x:v>fail</x:v>
      </x:c>
    </x:row>
    <x:row r="14">
      <x:c r="A14" s="12" t="str">
        <x:v>RET-10</x:v>
      </x:c>
      <x:c r="B14" s="12" t="str">
        <x:v>体育场馆如何预约、查询开放时间和使用规则？</x:v>
      </x:c>
      <x:c r="C14" s="12" t="str">
        <x:v>体育与场馆</x:v>
      </x:c>
      <x:c r="D14" s="12" t="str">
        <x:v>STGPUB-0159</x:v>
      </x:c>
      <x:c r="E14" s="12" t="str">
        <x:v>体育设施</x:v>
      </x:c>
      <x:c r="F14" s="12" t="str">
        <x:v>体育设施|体育场馆</x:v>
      </x:c>
      <x:c r="G14" s="12" t="str">
        <x:v>RAG V0 existing smoke; query unchanged; expected source is closest available source but may not cover booking</x:v>
      </x:c>
      <x:c r="H14" s="12" t="str">
        <x:v>EXISTING_SMOKE</x:v>
      </x:c>
      <x:c r="I14" s="12" t="str">
        <x:v>reliable</x:v>
      </x:c>
      <x:c r="J14" s="12" t="str">
        <x:v>pass</x:v>
      </x:c>
    </x:row>
    <x:row r="15">
      <x:c r="A15" s="12" t="str">
        <x:v>PROV-001</x:v>
      </x:c>
      <x:c r="B15" s="12" t="str">
        <x:v>本科新生不能按时报到时如何请假或申请保留入学资格？</x:v>
      </x:c>
      <x:c r="C15" s="12" t="str">
        <x:v>教务与学籍</x:v>
      </x:c>
      <x:c r="D15" s="12" t="str">
        <x:v>STGPUB-0047</x:v>
      </x:c>
      <x:c r="E15" s="12" t="str">
        <x:v>清华大学本科生学籍管理规定 为了规范学籍管理工作，维护学校正常的教育教学秩序，保证教学培养质量，保障学生合法权益，根据《中华人民共和国高等教育法》以及《普通高等学校学生管理规定》（教育部令第41号）、《清华大学章程》，结合学校...</x:v>
      </x:c>
      <x:c r="F15" s="12" t="str">
        <x:v>保留入学资格|请假</x:v>
      </x:c>
      <x:c r="G15" s="12" t="str">
        <x:v>Question written from verified clauses in STGPUB-0047</x:v>
      </x:c>
      <x:c r="H15" s="12" t="str">
        <x:v>PROVISIONAL_EVAL</x:v>
      </x:c>
      <x:c r="I15" s="12" t="str">
        <x:v>reliable</x:v>
      </x:c>
      <x:c r="J15" s="12"/>
    </x:row>
    <x:row r="16">
      <x:c r="A16" s="12" t="str">
        <x:v>PROV-002</x:v>
      </x:c>
      <x:c r="B16" s="12" t="str">
        <x:v>在校本科生或研究生办理在学证明，可以去哪里申请和打印？</x:v>
      </x:c>
      <x:c r="C16" s="12" t="str">
        <x:v>教务与学籍</x:v>
      </x:c>
      <x:c r="D16" s="12" t="str">
        <x:v>STGPUB-0009</x:v>
      </x:c>
      <x:c r="E16" s="12" t="str">
        <x:v>在校生办理在学证明流程</x:v>
      </x:c>
      <x:c r="F16" s="12" t="str">
        <x:v>在学证明|自助服务终端</x:v>
      </x:c>
      <x:c r="G16" s="12" t="str">
        <x:v>Question written from verified procedure in STGPUB-0009</x:v>
      </x:c>
      <x:c r="H16" s="12" t="str">
        <x:v>PROVISIONAL_EVAL</x:v>
      </x:c>
      <x:c r="I16" s="12" t="str">
        <x:v>reliable</x:v>
      </x:c>
      <x:c r="J16" s="12"/>
    </x:row>
    <x:row r="17">
      <x:c r="A17" s="12" t="str">
        <x:v>PROV-003</x:v>
      </x:c>
      <x:c r="B17" s="12" t="str">
        <x:v>学生不服学校处理或纪律处分时，校内申诉由哪个机构办理？</x:v>
      </x:c>
      <x:c r="C17" s="12" t="str">
        <x:v>学生事务</x:v>
      </x:c>
      <x:c r="D17" s="12" t="str">
        <x:v>STGPUB-0030</x:v>
      </x:c>
      <x:c r="E17" s="12" t="str">
        <x:v>清华大学学生申诉处理办法</x:v>
      </x:c>
      <x:c r="F17" s="12" t="str">
        <x:v>学生申诉处理委员会</x:v>
      </x:c>
      <x:c r="G17" s="12" t="str">
        <x:v>Question written from verified policy in STGPUB-0030</x:v>
      </x:c>
      <x:c r="H17" s="12" t="str">
        <x:v>PROVISIONAL_EVAL</x:v>
      </x:c>
      <x:c r="I17" s="12" t="str">
        <x:v>reliable</x:v>
      </x:c>
      <x:c r="J17" s="12"/>
    </x:row>
    <x:row r="18">
      <x:c r="A18" s="12" t="str">
        <x:v>PROV-004</x:v>
      </x:c>
      <x:c r="B18" s="12" t="str">
        <x:v>清华学生社团的建设、成立和日常管理依据什么办法？</x:v>
      </x:c>
      <x:c r="C18" s="12" t="str">
        <x:v>学生事务</x:v>
      </x:c>
      <x:c r="D18" s="12" t="str">
        <x:v>STGPUB-0033</x:v>
      </x:c>
      <x:c r="E18" s="12" t="str">
        <x:v>清华大学学生社团建设管理办法</x:v>
      </x:c>
      <x:c r="F18" s="12" t="str">
        <x:v>学生社团建设管理办法</x:v>
      </x:c>
      <x:c r="G18" s="12" t="str">
        <x:v>Question written from source title/body STGPUB-0033</x:v>
      </x:c>
      <x:c r="H18" s="12" t="str">
        <x:v>PROVISIONAL_EVAL</x:v>
      </x:c>
      <x:c r="I18" s="12" t="str">
        <x:v>reliable</x:v>
      </x:c>
      <x:c r="J18" s="12"/>
    </x:row>
    <x:row r="19">
      <x:c r="A19" s="12" t="str">
        <x:v>PROV-005</x:v>
      </x:c>
      <x:c r="B19" s="12" t="str">
        <x:v>学生想申请调整宿舍，应查看什么办理流程？</x:v>
      </x:c>
      <x:c r="C19" s="12" t="str">
        <x:v>住宿服务</x:v>
      </x:c>
      <x:c r="D19" s="12" t="str">
        <x:v>STGPUB-0072</x:v>
      </x:c>
      <x:c r="E19" s="12" t="str">
        <x:v>宿舍调整申请及办理流程</x:v>
      </x:c>
      <x:c r="F19" s="12" t="str">
        <x:v>宿舍调整申请|办理流程</x:v>
      </x:c>
      <x:c r="G19" s="12" t="str">
        <x:v>Question written from source title/body STGPUB-0072</x:v>
      </x:c>
      <x:c r="H19" s="12" t="str">
        <x:v>PROVISIONAL_EVAL</x:v>
      </x:c>
      <x:c r="I19" s="12" t="str">
        <x:v>reliable</x:v>
      </x:c>
      <x:c r="J19" s="12"/>
    </x:row>
    <x:row r="20">
      <x:c r="A20" s="12" t="str">
        <x:v>PROV-006</x:v>
      </x:c>
      <x:c r="B20" s="12" t="str">
        <x:v>给住在清华学生社区的同学寄快递时，邮寄地址和邮编在哪里查？</x:v>
      </x:c>
      <x:c r="C20" s="12" t="str">
        <x:v>住宿服务</x:v>
      </x:c>
      <x:c r="D20" s="12" t="str">
        <x:v>STGPUB-0067</x:v>
      </x:c>
      <x:c r="E20" s="12" t="str">
        <x:v>2026.03.18 邮寄地址及邮条</x:v>
      </x:c>
      <x:c r="F20" s="12" t="str">
        <x:v>邮寄地址|邮编</x:v>
      </x:c>
      <x:c r="G20" s="12" t="str">
        <x:v>Question written from source title/body STGPUB-0067</x:v>
      </x:c>
      <x:c r="H20" s="12" t="str">
        <x:v>PROVISIONAL_EVAL</x:v>
      </x:c>
      <x:c r="I20" s="12" t="str">
        <x:v>reliable</x:v>
      </x:c>
      <x:c r="J20" s="12"/>
    </x:row>
    <x:row r="21">
      <x:c r="A21" s="12" t="str">
        <x:v>PROV-007</x:v>
      </x:c>
      <x:c r="B21" s="12" t="str">
        <x:v>负责清华校内食堂和餐饮保障的是哪个饮食服务部门？</x:v>
      </x:c>
      <x:c r="C21" s="12" t="str">
        <x:v>餐饮服务</x:v>
      </x:c>
      <x:c r="D21" s="12" t="str">
        <x:v>STGPUB-0079</x:v>
      </x:c>
      <x:c r="E21" s="12" t="str">
        <x:v>饮食服务中心</x:v>
      </x:c>
      <x:c r="F21" s="12" t="str">
        <x:v>饮食服务中心</x:v>
      </x:c>
      <x:c r="G21" s="12" t="str">
        <x:v>Question written from source title/body STGPUB-0079</x:v>
      </x:c>
      <x:c r="H21" s="12" t="str">
        <x:v>PROVISIONAL_EVAL</x:v>
      </x:c>
      <x:c r="I21" s="12" t="str">
        <x:v>reliable</x:v>
      </x:c>
      <x:c r="J21" s="12"/>
    </x:row>
    <x:row r="22">
      <x:c r="A22" s="12" t="str">
        <x:v>PROV-008</x:v>
      </x:c>
      <x:c r="B22" s="12" t="str">
        <x:v>教职工想查询校内教工餐厅信息，应查看哪份校园服务资料？</x:v>
      </x:c>
      <x:c r="C22" s="12" t="str">
        <x:v>餐饮服务</x:v>
      </x:c>
      <x:c r="D22" s="12" t="str">
        <x:v>STGPUB-0074</x:v>
      </x:c>
      <x:c r="E22" s="12" t="str">
        <x:v>教工餐厅</x:v>
      </x:c>
      <x:c r="F22" s="12" t="str">
        <x:v>教工餐厅</x:v>
      </x:c>
      <x:c r="G22" s="12" t="str">
        <x:v>Question written from source title/body STGPUB-0074</x:v>
      </x:c>
      <x:c r="H22" s="12" t="str">
        <x:v>PROVISIONAL_EVAL</x:v>
      </x:c>
      <x:c r="I22" s="12" t="str">
        <x:v>reliable</x:v>
      </x:c>
      <x:c r="J22" s="12"/>
    </x:row>
    <x:row r="23">
      <x:c r="A23" s="12" t="str">
        <x:v>PROV-009</x:v>
      </x:c>
      <x:c r="B23" s="12" t="str">
        <x:v>清华校车线路、班次和校园出入口交通指引在哪里查？</x:v>
      </x:c>
      <x:c r="C23" s="12" t="str">
        <x:v>交通服务</x:v>
      </x:c>
      <x:c r="D23" s="12"/>
      <x:c r="E23" s="12" t="str"/>
      <x:c r="F23" s="12" t="str">
        <x:v>校车|班次|交通指引</x:v>
      </x:c>
      <x:c r="G23" s="12" t="str">
        <x:v>Gap diagnostic query retained because corpus inspection found no sufficient source</x:v>
      </x:c>
      <x:c r="H23" s="12" t="str">
        <x:v>PROVISIONAL_EVAL</x:v>
      </x:c>
      <x:c r="I23" s="12" t="str">
        <x:v>expected_source_uncertain</x:v>
      </x:c>
      <x:c r="J23" s="12"/>
    </x:row>
    <x:row r="24">
      <x:c r="A24" s="12" t="str">
        <x:v>PROV-010</x:v>
      </x:c>
      <x:c r="B24" s="12" t="str">
        <x:v>在清华办理生育医疗费用报销需要查看什么程序？</x:v>
      </x:c>
      <x:c r="C24" s="12" t="str">
        <x:v>医疗健康</x:v>
      </x:c>
      <x:c r="D24" s="12" t="str">
        <x:v>RESV1-0015</x:v>
      </x:c>
      <x:c r="E24" s="12" t="str">
        <x:v>生育医疗报销程序 - 清华大学信息门户</x:v>
      </x:c>
      <x:c r="F24" s="12" t="str">
        <x:v>生育医疗报销程序</x:v>
      </x:c>
      <x:c r="G24" s="12" t="str">
        <x:v>Question written from verified restricted source RESV1-0015</x:v>
      </x:c>
      <x:c r="H24" s="12" t="str">
        <x:v>PROVISIONAL_EVAL</x:v>
      </x:c>
      <x:c r="I24" s="12" t="str">
        <x:v>reliable</x:v>
      </x:c>
      <x:c r="J24" s="12"/>
    </x:row>
    <x:row r="25">
      <x:c r="A25" s="12" t="str">
        <x:v>PROV-011</x:v>
      </x:c>
      <x:c r="B25" s="12" t="str">
        <x:v>清华大学医院能否通过北京114平台预约挂号？</x:v>
      </x:c>
      <x:c r="C25" s="12" t="str">
        <x:v>医疗健康</x:v>
      </x:c>
      <x:c r="D25" s="12" t="str">
        <x:v>STGPUB-0065</x:v>
      </x:c>
      <x:c r="E25" s="12" t="str">
        <x:v>清华大学医院可在114平台预约挂号啦！-清华大学医学院</x:v>
      </x:c>
      <x:c r="F25" s="12" t="str">
        <x:v>114平台|预约挂号</x:v>
      </x:c>
      <x:c r="G25" s="12" t="str">
        <x:v>Question written from source title/body STGPUB-0065</x:v>
      </x:c>
      <x:c r="H25" s="12" t="str">
        <x:v>PROVISIONAL_EVAL</x:v>
      </x:c>
      <x:c r="I25" s="12" t="str">
        <x:v>reliable</x:v>
      </x:c>
      <x:c r="J25" s="12"/>
    </x:row>
    <x:row r="26">
      <x:c r="A26" s="12" t="str">
        <x:v>PROV-012</x:v>
      </x:c>
      <x:c r="B26" s="12" t="str">
        <x:v>校园网络运行和基础网络服务的信息由哪份资料说明？</x:v>
      </x:c>
      <x:c r="C26" s="12" t="str">
        <x:v>网络与信息化</x:v>
      </x:c>
      <x:c r="D26" s="12" t="str">
        <x:v>STGPUB-0104</x:v>
      </x:c>
      <x:c r="E26" s="12" t="str">
        <x:v>校园网络运行</x:v>
      </x:c>
      <x:c r="F26" s="12" t="str">
        <x:v>校园网络运行</x:v>
      </x:c>
      <x:c r="G26" s="12" t="str">
        <x:v>Question written from source title/body STGPUB-0104</x:v>
      </x:c>
      <x:c r="H26" s="12" t="str">
        <x:v>PROVISIONAL_EVAL</x:v>
      </x:c>
      <x:c r="I26" s="12" t="str">
        <x:v>reliable</x:v>
      </x:c>
      <x:c r="J26" s="12"/>
    </x:row>
    <x:row r="27">
      <x:c r="A27" s="12" t="str">
        <x:v>PROV-013</x:v>
      </x:c>
      <x:c r="B27" s="12" t="str">
        <x:v>遇到学校信息化账号或网络使用问题时，应到哪里寻找用户服务？</x:v>
      </x:c>
      <x:c r="C27" s="12" t="str">
        <x:v>网络与信息化</x:v>
      </x:c>
      <x:c r="D27" s="12" t="str">
        <x:v>STGPUB-0106</x:v>
      </x:c>
      <x:c r="E27" s="12" t="str">
        <x:v>用户服务</x:v>
      </x:c>
      <x:c r="F27" s="12" t="str">
        <x:v>用户服务</x:v>
      </x:c>
      <x:c r="G27" s="12" t="str">
        <x:v>Question written from source title/body STGPUB-0106</x:v>
      </x:c>
      <x:c r="H27" s="12" t="str">
        <x:v>PROVISIONAL_EVAL</x:v>
      </x:c>
      <x:c r="I27" s="12" t="str">
        <x:v>reliable</x:v>
      </x:c>
      <x:c r="J27" s="12"/>
    </x:row>
    <x:row r="28">
      <x:c r="A28" s="12" t="str">
        <x:v>PROV-014</x:v>
      </x:c>
      <x:c r="B28" s="12" t="str">
        <x:v>清华图书馆图书借还的规则和操作说明在哪里？</x:v>
      </x:c>
      <x:c r="C28" s="12" t="str">
        <x:v>图书馆服务</x:v>
      </x:c>
      <x:c r="D28" s="12" t="str">
        <x:v>STGPUB-0132</x:v>
      </x:c>
      <x:c r="E28" s="12" t="str">
        <x:v>图书借还</x:v>
      </x:c>
      <x:c r="F28" s="12" t="str">
        <x:v>图书借还</x:v>
      </x:c>
      <x:c r="G28" s="12" t="str">
        <x:v>Question written from source title/body STGPUB-0132</x:v>
      </x:c>
      <x:c r="H28" s="12" t="str">
        <x:v>PROVISIONAL_EVAL</x:v>
      </x:c>
      <x:c r="I28" s="12" t="str">
        <x:v>reliable</x:v>
      </x:c>
      <x:c r="J28" s="12"/>
    </x:row>
    <x:row r="29">
      <x:c r="A29" s="12" t="str">
        <x:v>PROV-015</x:v>
      </x:c>
      <x:c r="B29" s="12" t="str">
        <x:v>进入清华大学图书馆需要遵守什么入馆管理办法？</x:v>
      </x:c>
      <x:c r="C29" s="12" t="str">
        <x:v>图书馆服务</x:v>
      </x:c>
      <x:c r="D29" s="12" t="str">
        <x:v>STGPUB-0147</x:v>
      </x:c>
      <x:c r="E29" s="12" t="str">
        <x:v>清华大学图书馆入馆管理办法-清华大学图书馆</x:v>
      </x:c>
      <x:c r="F29" s="12" t="str">
        <x:v>入馆管理办法</x:v>
      </x:c>
      <x:c r="G29" s="12" t="str">
        <x:v>Question written from source title/body STGPUB-0147</x:v>
      </x:c>
      <x:c r="H29" s="12" t="str">
        <x:v>PROVISIONAL_EVAL</x:v>
      </x:c>
      <x:c r="I29" s="12" t="str">
        <x:v>reliable</x:v>
      </x:c>
      <x:c r="J29" s="12"/>
    </x:row>
    <x:row r="30">
      <x:c r="A30" s="12" t="str">
        <x:v>PROV-016</x:v>
      </x:c>
      <x:c r="B30" s="12" t="str">
        <x:v>清华师生如何使用馆际互借服务获取外馆文献？</x:v>
      </x:c>
      <x:c r="C30" s="12" t="str">
        <x:v>图书馆服务</x:v>
      </x:c>
      <x:c r="D30" s="12" t="str">
        <x:v>STGPUB-0158</x:v>
      </x:c>
      <x:c r="E30" s="12" t="str">
        <x:v>馆际互借-清华大学图书馆</x:v>
      </x:c>
      <x:c r="F30" s="12" t="str">
        <x:v>馆际互借</x:v>
      </x:c>
      <x:c r="G30" s="12" t="str">
        <x:v>Question written from source title/body STGPUB-0158</x:v>
      </x:c>
      <x:c r="H30" s="12" t="str">
        <x:v>PROVISIONAL_EVAL</x:v>
      </x:c>
      <x:c r="I30" s="12" t="str">
        <x:v>reliable</x:v>
      </x:c>
      <x:c r="J30" s="12"/>
    </x:row>
    <x:row r="31">
      <x:c r="A31" s="12" t="str">
        <x:v>PROV-017</x:v>
      </x:c>
      <x:c r="B31" s="12" t="str">
        <x:v>综合体育馆的建筑面积、观众席位和赛事用途是什么？</x:v>
      </x:c>
      <x:c r="C31" s="12" t="str">
        <x:v>体育与场馆</x:v>
      </x:c>
      <x:c r="D31" s="12" t="str">
        <x:v>STGPUB-0162</x:v>
      </x:c>
      <x:c r="E31" s="12" t="str">
        <x:v>综合体育馆 综合体育馆于2000年建成，总建筑面积 12547.85平米，总观众席位4502个，可满足国际比赛和现场电视转播的要求。为2001年第21届世界大学生运动会男子篮球比赛场馆，2008年...</x:v>
      </x:c>
      <x:c r="F31" s="12" t="str">
        <x:v>综合体育馆|观众席位</x:v>
      </x:c>
      <x:c r="G31" s="12" t="str">
        <x:v>Question written from verified facts in STGPUB-0162</x:v>
      </x:c>
      <x:c r="H31" s="12" t="str">
        <x:v>PROVISIONAL_EVAL</x:v>
      </x:c>
      <x:c r="I31" s="12" t="str">
        <x:v>reliable</x:v>
      </x:c>
      <x:c r="J31" s="12"/>
    </x:row>
    <x:row r="32">
      <x:c r="A32" s="12" t="str">
        <x:v>PROV-018</x:v>
      </x:c>
      <x:c r="B32" s="12" t="str">
        <x:v>清华大学特等奖学金采用什么评选办法？</x:v>
      </x:c>
      <x:c r="C32" s="12" t="str">
        <x:v>奖助与资助</x:v>
      </x:c>
      <x:c r="D32" s="12" t="str">
        <x:v>RESV1-0016</x:v>
      </x:c>
      <x:c r="E32" s="12" t="str">
        <x:v>清华大学特等奖学金评选办法 - 清华大学信息门户</x:v>
      </x:c>
      <x:c r="F32" s="12" t="str">
        <x:v>特等奖学金评选办法</x:v>
      </x:c>
      <x:c r="G32" s="12" t="str">
        <x:v>Question written from verified restricted source RESV1-0016</x:v>
      </x:c>
      <x:c r="H32" s="12" t="str">
        <x:v>PROVISIONAL_EVAL</x:v>
      </x:c>
      <x:c r="I32" s="12" t="str">
        <x:v>reliable</x:v>
      </x:c>
      <x:c r="J32" s="12"/>
    </x:row>
    <x:row r="33">
      <x:c r="A33" s="12" t="str">
        <x:v>PROV-019</x:v>
      </x:c>
      <x:c r="B33" s="12" t="str">
        <x:v>国家助学贷款发放后，学生应遵守哪些贷后管理规定？</x:v>
      </x:c>
      <x:c r="C33" s="12" t="str">
        <x:v>奖助与资助</x:v>
      </x:c>
      <x:c r="D33" s="12" t="str">
        <x:v>STGPUB-0028</x:v>
      </x:c>
      <x:c r="E33" s="12" t="str">
        <x:v>清华大学学生国家助学贷款贷后管理办法</x:v>
      </x:c>
      <x:c r="F33" s="12" t="str">
        <x:v>国家助学贷款|贷后管理</x:v>
      </x:c>
      <x:c r="G33" s="12" t="str">
        <x:v>Question written from source title/body STGPUB-0028</x:v>
      </x:c>
      <x:c r="H33" s="12" t="str">
        <x:v>PROVISIONAL_EVAL</x:v>
      </x:c>
      <x:c r="I33" s="12" t="str">
        <x:v>reliable</x:v>
      </x:c>
      <x:c r="J33" s="12"/>
    </x:row>
    <x:row r="34">
      <x:c r="A34" s="12" t="str">
        <x:v>PROV-020</x:v>
      </x:c>
      <x:c r="B34" s="12" t="str">
        <x:v>国际学生如何区分并查询不同的签证类型？</x:v>
      </x:c>
      <x:c r="C34" s="12" t="str">
        <x:v>国际事务与签证</x:v>
      </x:c>
      <x:c r="D34" s="12" t="str">
        <x:v>STGPUB-0177</x:v>
      </x:c>
      <x:c r="E34" s="12" t="str">
        <x:v>Visa Types</x:v>
      </x:c>
      <x:c r="F34" s="12" t="str">
        <x:v>Visa Types|签证类型</x:v>
      </x:c>
      <x:c r="G34" s="12" t="str">
        <x:v>Question written from source title/body STGPUB-0177</x:v>
      </x:c>
      <x:c r="H34" s="12" t="str">
        <x:v>PROVISIONAL_EVAL</x:v>
      </x:c>
      <x:c r="I34" s="12" t="str">
        <x:v>reliable</x:v>
      </x:c>
      <x:c r="J34" s="12"/>
    </x:row>
    <x:row r="35">
      <x:c r="A35" s="12" t="str">
        <x:v>PROV-021</x:v>
      </x:c>
      <x:c r="B35" s="12" t="str">
        <x:v>国际学生选择校外住宿时应查看什么住宿指南？</x:v>
      </x:c>
      <x:c r="C35" s="12" t="str">
        <x:v>国际事务与签证</x:v>
      </x:c>
      <x:c r="D35" s="12" t="str">
        <x:v>STGPUB-0174</x:v>
      </x:c>
      <x:c r="E35" s="12" t="str">
        <x:v>Off-campus accommodation</x:v>
      </x:c>
      <x:c r="F35" s="12" t="str">
        <x:v>Off-campus accommodation</x:v>
      </x:c>
      <x:c r="G35" s="12" t="str">
        <x:v>Question written from source title/body STGPUB-0174</x:v>
      </x:c>
      <x:c r="H35" s="12" t="str">
        <x:v>PROVISIONAL_EVAL</x:v>
      </x:c>
      <x:c r="I35" s="12" t="str">
        <x:v>reliable</x:v>
      </x:c>
      <x:c r="J35" s="12"/>
    </x:row>
    <x:row r="36">
      <x:c r="A36" s="12" t="str">
        <x:v>PROV-022</x:v>
      </x:c>
      <x:c r="B36" s="12" t="str">
        <x:v>学生职业发展指导中心面向学生提供哪些就业服务？</x:v>
      </x:c>
      <x:c r="C36" s="12" t="str">
        <x:v>就业与职业发展</x:v>
      </x:c>
      <x:c r="D36" s="12" t="str">
        <x:v>STGPUB-0182</x:v>
      </x:c>
      <x:c r="E36" s="12" t="str">
        <x:v>我是学生 - 清华大学学生职业发展指导中心</x:v>
      </x:c>
      <x:c r="F36" s="12" t="str">
        <x:v>学生职业发展指导中心</x:v>
      </x:c>
      <x:c r="G36" s="12" t="str">
        <x:v>Question written from source title/body STGPUB-0182</x:v>
      </x:c>
      <x:c r="H36" s="12" t="str">
        <x:v>PROVISIONAL_EVAL</x:v>
      </x:c>
      <x:c r="I36" s="12" t="str">
        <x:v>reliable</x:v>
      </x:c>
      <x:c r="J36" s="12"/>
    </x:row>
    <x:row r="37">
      <x:c r="A37" s="12" t="str">
        <x:v>PROV-023</x:v>
      </x:c>
      <x:c r="B37" s="12" t="str">
        <x:v>学生想进行一对一生涯咨询、简历修改或模拟面试，可以找什么服务？</x:v>
      </x:c>
      <x:c r="C37" s="12" t="str">
        <x:v>就业与职业发展</x:v>
      </x:c>
      <x:c r="D37" s="12" t="str">
        <x:v>STGPUB-0005</x:v>
      </x:c>
      <x:c r="E37" s="12" t="str">
        <x:v>个体咨询（校内导师）</x:v>
      </x:c>
      <x:c r="F37" s="12" t="str">
        <x:v>生涯咨询|简历与面试</x:v>
      </x:c>
      <x:c r="G37" s="12" t="str">
        <x:v>Question written from verified service description in STGPUB-0005</x:v>
      </x:c>
      <x:c r="H37" s="12" t="str">
        <x:v>PROVISIONAL_EVAL</x:v>
      </x:c>
      <x:c r="I37" s="12" t="str">
        <x:v>reliable</x:v>
      </x:c>
      <x:c r="J37" s="12"/>
    </x:row>
    <x:row r="38">
      <x:c r="A38" s="12" t="str">
        <x:v>PROV-024</x:v>
      </x:c>
      <x:c r="B38" s="12" t="str">
        <x:v>清华科研仪器共享平台能否查询开放设备并预约测试？</x:v>
      </x:c>
      <x:c r="C38" s="12" t="str">
        <x:v>科研参与</x:v>
      </x:c>
      <x:c r="D38" s="12" t="str">
        <x:v>STGPUB-0196</x:v>
      </x:c>
      <x:c r="E38" s="12" t="str">
        <x:v>关于清华大学仪器共享服务平台 2021-11-15</x:v>
      </x:c>
      <x:c r="F38" s="12" t="str">
        <x:v>仪器共享|测试预约</x:v>
      </x:c>
      <x:c r="G38" s="12" t="str">
        <x:v>Question written from verified service description in STGPUB-0196</x:v>
      </x:c>
      <x:c r="H38" s="12" t="str">
        <x:v>PROVISIONAL_EVAL</x:v>
      </x:c>
      <x:c r="I38" s="12" t="str">
        <x:v>reliable</x:v>
      </x:c>
      <x:c r="J38" s="12"/>
    </x:row>
    <x:row r="39">
      <x:c r="A39" s="12" t="str">
        <x:v>PROV-025</x:v>
      </x:c>
      <x:c r="B39" s="12" t="str">
        <x:v>清华通讯作者在IEEE开放获取期刊发表论文有何APC优惠？</x:v>
      </x:c>
      <x:c r="C39" s="12" t="str">
        <x:v>科研参与</x:v>
      </x:c>
      <x:c r="D39" s="12" t="str">
        <x:v>STGPUB-0203</x:v>
      </x:c>
      <x:c r="E39" s="12" t="str">
        <x:v>电气电子工程师学会（IEEE）开放获取（OA）政策-清华大学图书馆</x:v>
      </x:c>
      <x:c r="F39" s="12" t="str">
        <x:v>IEEE|APC|九折</x:v>
      </x:c>
      <x:c r="G39" s="12" t="str">
        <x:v>Question written from verified OA policy in STGPUB-0203</x:v>
      </x:c>
      <x:c r="H39" s="12" t="str">
        <x:v>PROVISIONAL_EVAL</x:v>
      </x:c>
      <x:c r="I39" s="12" t="str">
        <x:v>reliable</x:v>
      </x:c>
      <x:c r="J39" s="12"/>
    </x:row>
    <x:row r="40">
      <x:c r="A40" s="12" t="str">
        <x:v>PROV-026</x:v>
      </x:c>
      <x:c r="B40" s="12" t="str">
        <x:v>学校的信息化教室、录播系统和教学技术支持由什么服务负责？</x:v>
      </x:c>
      <x:c r="C40" s="12" t="str">
        <x:v>教学培养</x:v>
      </x:c>
      <x:c r="D40" s="12" t="str">
        <x:v>STGPUB-0214</x:v>
      </x:c>
      <x:c r="E40" s="12" t="str">
        <x:v>教学环境服务</x:v>
      </x:c>
      <x:c r="F40" s="12" t="str">
        <x:v>教学环境服务|直播录播</x:v>
      </x:c>
      <x:c r="G40" s="12" t="str">
        <x:v>Question written from verified service description in STGPUB-0214</x:v>
      </x:c>
      <x:c r="H40" s="12" t="str">
        <x:v>PROVISIONAL_EVAL</x:v>
      </x:c>
      <x:c r="I40" s="12" t="str">
        <x:v>reliable</x:v>
      </x:c>
      <x:c r="J40" s="12"/>
    </x:row>
    <x:row r="41">
      <x:c r="A41" s="12" t="str">
        <x:v>PROV-027</x:v>
      </x:c>
      <x:c r="B41" s="12" t="str">
        <x:v>清华专业学位人才培养项目采用什么建设定位？</x:v>
      </x:c>
      <x:c r="C41" s="12" t="str">
        <x:v>教学培养</x:v>
      </x:c>
      <x:c r="D41" s="12" t="str">
        <x:v>STGPUB-0210</x:v>
      </x:c>
      <x:c r="E41" s="12" t="str">
        <x:v>专业学位项目</x:v>
      </x:c>
      <x:c r="F41" s="12" t="str">
        <x:v>专业学位项目|高端定位</x:v>
      </x:c>
      <x:c r="G41" s="12" t="str">
        <x:v>Question written from verified description in STGPUB-0210</x:v>
      </x:c>
      <x:c r="H41" s="12" t="str">
        <x:v>PROVISIONAL_EVAL</x:v>
      </x:c>
      <x:c r="I41" s="12" t="str">
        <x:v>reliable</x:v>
      </x:c>
      <x:c r="J41" s="12"/>
    </x:row>
    <x:row r="42">
      <x:c r="A42" s="12" t="str">
        <x:v>PROV-028</x:v>
      </x:c>
      <x:c r="B42" s="12" t="str">
        <x:v>如何查询清华各院系的单位号、简称和英文名称？</x:v>
      </x:c>
      <x:c r="C42" s="12" t="str">
        <x:v>校园综合服务</x:v>
      </x:c>
      <x:c r="D42" s="12" t="str">
        <x:v>RESV1-0010</x:v>
      </x:c>
      <x:c r="E42" s="12" t="str">
        <x:v>单位编码</x:v>
      </x:c>
      <x:c r="F42" s="12" t="str">
        <x:v>单位号|单位简称|英文名称</x:v>
      </x:c>
      <x:c r="G42" s="12" t="str">
        <x:v>Question written from verified restricted source RESV1-0010</x:v>
      </x:c>
      <x:c r="H42" s="12" t="str">
        <x:v>PROVISIONAL_EVAL</x:v>
      </x:c>
      <x:c r="I42" s="12" t="str">
        <x:v>reliable</x:v>
      </x:c>
      <x:c r="J42" s="12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3954202206c6460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9" hidden="0" customWidth="1"/>
    <x:col min="3" max="3" width="19" hidden="0" customWidth="1"/>
    <x:col min="4" max="4" width="19" hidden="0" customWidth="1"/>
  </x:cols>
  <x:sheetData>
    <x:row r="1">
      <x:c r="A1" s="2" t="str">
        <x:v>Evaluation Coverage</x:v>
      </x:c>
      <x:c r="B1" s="2"/>
      <x:c r="C1" s="2"/>
      <x:c r="D1" s="2"/>
    </x:row>
    <x:row r="3">
      <x:c r="A3" s="13" t="str">
        <x:v>Total queries</x:v>
      </x:c>
      <x:c r="B3" t="n">
        <x:f>COUNTA('Query Set'!A5:A1000)</x:f>
        <x:v>38</x:v>
      </x:c>
    </x:row>
    <x:row r="4">
      <x:c r="A4" s="13" t="str">
        <x:v>Existing Smoke</x:v>
      </x:c>
      <x:c r="B4" t="n">
        <x:f>COUNTIF('Query Set'!H5:H1000,"EXISTING_SMOKE")</x:f>
        <x:v>10</x:v>
      </x:c>
    </x:row>
    <x:row r="5">
      <x:c r="A5" s="13" t="str">
        <x:v>Provisional Evaluation</x:v>
      </x:c>
      <x:c r="B5" t="n">
        <x:f>COUNTIF('Query Set'!H5:H1000,"PROVISIONAL_EVAL")</x:f>
        <x:v>28</x:v>
      </x:c>
    </x:row>
    <x:row r="6">
      <x:c r="A6" s="13" t="str">
        <x:v>Reliable expected source</x:v>
      </x:c>
      <x:c r="B6" t="n">
        <x:f>COUNTIF('Query Set'!I5:I1000,"reliable")</x:f>
        <x:v>33</x:v>
      </x:c>
    </x:row>
    <x:row r="7">
      <x:c r="A7" s="13" t="str">
        <x:v>Uncertain expected source</x:v>
      </x:c>
      <x:c r="B7" t="n">
        <x:f>COUNTIF('Query Set'!I5:I1000,"expected_source_uncertain")</x:f>
        <x:v>5</x:v>
      </x:c>
    </x:row>
    <x:row r="8">
      <x:c r="A8" s="13" t="str">
        <x:v>Covered categories</x:v>
      </x:c>
      <x:c r="B8" t="n">
        <x:v>15</x:v>
      </x:c>
    </x:row>
    <x:row r="10">
      <x:c r="A10" s="14" t="str">
        <x:v>category</x:v>
      </x:c>
      <x:c r="B10" s="14" t="str">
        <x:v>all queries</x:v>
      </x:c>
      <x:c r="C10" s="14" t="str">
        <x:v>existing smoke</x:v>
      </x:c>
      <x:c r="D10" s="14" t="str">
        <x:v>provisional</x:v>
      </x:c>
    </x:row>
    <x:row r="11">
      <x:c r="A11" t="str">
        <x:v>餐饮服务</x:v>
      </x:c>
      <x:c r="B11" t="n">
        <x:f>COUNTIF('Query Set'!C5:C1000,A11)</x:f>
        <x:v>3</x:v>
      </x:c>
      <x:c r="C11" t="n">
        <x:f>COUNTIFS('Query Set'!C5:C1000,A11,'Query Set'!H5:H1000,"EXISTING_SMOKE")</x:f>
        <x:v>1</x:v>
      </x:c>
      <x:c r="D11" t="n">
        <x:f>COUNTIFS('Query Set'!C5:C1000,A11,'Query Set'!H5:H1000,"PROVISIONAL_EVAL")</x:f>
        <x:v>2</x:v>
      </x:c>
    </x:row>
    <x:row r="12">
      <x:c r="A12" t="str">
        <x:v>国际事务与签证</x:v>
      </x:c>
      <x:c r="B12" t="n">
        <x:f>COUNTIF('Query Set'!C5:C1000,A12)</x:f>
        <x:v>2</x:v>
      </x:c>
      <x:c r="C12" t="n">
        <x:f>COUNTIFS('Query Set'!C5:C1000,A12,'Query Set'!H5:H1000,"EXISTING_SMOKE")</x:f>
        <x:v>0</x:v>
      </x:c>
      <x:c r="D12" t="n">
        <x:f>COUNTIFS('Query Set'!C5:C1000,A12,'Query Set'!H5:H1000,"PROVISIONAL_EVAL")</x:f>
        <x:v>2</x:v>
      </x:c>
    </x:row>
    <x:row r="13">
      <x:c r="A13" t="str">
        <x:v>奖助与资助</x:v>
      </x:c>
      <x:c r="B13" t="n">
        <x:f>COUNTIF('Query Set'!C5:C1000,A13)</x:f>
        <x:v>3</x:v>
      </x:c>
      <x:c r="C13" t="n">
        <x:f>COUNTIFS('Query Set'!C5:C1000,A13,'Query Set'!H5:H1000,"EXISTING_SMOKE")</x:f>
        <x:v>1</x:v>
      </x:c>
      <x:c r="D13" t="n">
        <x:f>COUNTIFS('Query Set'!C5:C1000,A13,'Query Set'!H5:H1000,"PROVISIONAL_EVAL")</x:f>
        <x:v>2</x:v>
      </x:c>
    </x:row>
    <x:row r="14">
      <x:c r="A14" t="str">
        <x:v>交通服务</x:v>
      </x:c>
      <x:c r="B14" t="n">
        <x:f>COUNTIF('Query Set'!C5:C1000,A14)</x:f>
        <x:v>2</x:v>
      </x:c>
      <x:c r="C14" t="n">
        <x:f>COUNTIFS('Query Set'!C5:C1000,A14,'Query Set'!H5:H1000,"EXISTING_SMOKE")</x:f>
        <x:v>1</x:v>
      </x:c>
      <x:c r="D14" t="n">
        <x:f>COUNTIFS('Query Set'!C5:C1000,A14,'Query Set'!H5:H1000,"PROVISIONAL_EVAL")</x:f>
        <x:v>1</x:v>
      </x:c>
    </x:row>
    <x:row r="15">
      <x:c r="A15" t="str">
        <x:v>教务与学籍</x:v>
      </x:c>
      <x:c r="B15" t="n">
        <x:f>COUNTIF('Query Set'!C5:C1000,A15)</x:f>
        <x:v>3</x:v>
      </x:c>
      <x:c r="C15" t="n">
        <x:f>COUNTIFS('Query Set'!C5:C1000,A15,'Query Set'!H5:H1000,"EXISTING_SMOKE")</x:f>
        <x:v>1</x:v>
      </x:c>
      <x:c r="D15" t="n">
        <x:f>COUNTIFS('Query Set'!C5:C1000,A15,'Query Set'!H5:H1000,"PROVISIONAL_EVAL")</x:f>
        <x:v>2</x:v>
      </x:c>
    </x:row>
    <x:row r="16">
      <x:c r="A16" t="str">
        <x:v>教学培养</x:v>
      </x:c>
      <x:c r="B16" t="n">
        <x:f>COUNTIF('Query Set'!C5:C1000,A16)</x:f>
        <x:v>2</x:v>
      </x:c>
      <x:c r="C16" t="n">
        <x:f>COUNTIFS('Query Set'!C5:C1000,A16,'Query Set'!H5:H1000,"EXISTING_SMOKE")</x:f>
        <x:v>0</x:v>
      </x:c>
      <x:c r="D16" t="n">
        <x:f>COUNTIFS('Query Set'!C5:C1000,A16,'Query Set'!H5:H1000,"PROVISIONAL_EVAL")</x:f>
        <x:v>2</x:v>
      </x:c>
    </x:row>
    <x:row r="17">
      <x:c r="A17" t="str">
        <x:v>就业与职业发展</x:v>
      </x:c>
      <x:c r="B17" t="n">
        <x:f>COUNTIF('Query Set'!C5:C1000,A17)</x:f>
        <x:v>3</x:v>
      </x:c>
      <x:c r="C17" t="n">
        <x:f>COUNTIFS('Query Set'!C5:C1000,A17,'Query Set'!H5:H1000,"EXISTING_SMOKE")</x:f>
        <x:v>1</x:v>
      </x:c>
      <x:c r="D17" t="n">
        <x:f>COUNTIFS('Query Set'!C5:C1000,A17,'Query Set'!H5:H1000,"PROVISIONAL_EVAL")</x:f>
        <x:v>2</x:v>
      </x:c>
    </x:row>
    <x:row r="18">
      <x:c r="A18" t="str">
        <x:v>科研参与</x:v>
      </x:c>
      <x:c r="B18" t="n">
        <x:f>COUNTIF('Query Set'!C5:C1000,A18)</x:f>
        <x:v>2</x:v>
      </x:c>
      <x:c r="C18" t="n">
        <x:f>COUNTIFS('Query Set'!C5:C1000,A18,'Query Set'!H5:H1000,"EXISTING_SMOKE")</x:f>
        <x:v>0</x:v>
      </x:c>
      <x:c r="D18" t="n">
        <x:f>COUNTIFS('Query Set'!C5:C1000,A18,'Query Set'!H5:H1000,"PROVISIONAL_EVAL")</x:f>
        <x:v>2</x:v>
      </x:c>
    </x:row>
    <x:row r="19">
      <x:c r="A19" t="str">
        <x:v>体育与场馆</x:v>
      </x:c>
      <x:c r="B19" t="n">
        <x:f>COUNTIF('Query Set'!C5:C1000,A19)</x:f>
        <x:v>2</x:v>
      </x:c>
      <x:c r="C19" t="n">
        <x:f>COUNTIFS('Query Set'!C5:C1000,A19,'Query Set'!H5:H1000,"EXISTING_SMOKE")</x:f>
        <x:v>1</x:v>
      </x:c>
      <x:c r="D19" t="n">
        <x:f>COUNTIFS('Query Set'!C5:C1000,A19,'Query Set'!H5:H1000,"PROVISIONAL_EVAL")</x:f>
        <x:v>1</x:v>
      </x:c>
    </x:row>
    <x:row r="20">
      <x:c r="A20" t="str">
        <x:v>图书馆服务</x:v>
      </x:c>
      <x:c r="B20" t="n">
        <x:f>COUNTIF('Query Set'!C5:C1000,A20)</x:f>
        <x:v>4</x:v>
      </x:c>
      <x:c r="C20" t="n">
        <x:f>COUNTIFS('Query Set'!C5:C1000,A20,'Query Set'!H5:H1000,"EXISTING_SMOKE")</x:f>
        <x:v>1</x:v>
      </x:c>
      <x:c r="D20" t="n">
        <x:f>COUNTIFS('Query Set'!C5:C1000,A20,'Query Set'!H5:H1000,"PROVISIONAL_EVAL")</x:f>
        <x:v>3</x:v>
      </x:c>
    </x:row>
    <x:row r="21">
      <x:c r="A21" t="str">
        <x:v>网络与信息化</x:v>
      </x:c>
      <x:c r="B21" t="n">
        <x:f>COUNTIF('Query Set'!C5:C1000,A21)</x:f>
        <x:v>3</x:v>
      </x:c>
      <x:c r="C21" t="n">
        <x:f>COUNTIFS('Query Set'!C5:C1000,A21,'Query Set'!H5:H1000,"EXISTING_SMOKE")</x:f>
        <x:v>1</x:v>
      </x:c>
      <x:c r="D21" t="n">
        <x:f>COUNTIFS('Query Set'!C5:C1000,A21,'Query Set'!H5:H1000,"PROVISIONAL_EVAL")</x:f>
        <x:v>2</x:v>
      </x:c>
    </x:row>
    <x:row r="22">
      <x:c r="A22" t="str">
        <x:v>校园综合服务</x:v>
      </x:c>
      <x:c r="B22" t="n">
        <x:f>COUNTIF('Query Set'!C5:C1000,A22)</x:f>
        <x:v>1</x:v>
      </x:c>
      <x:c r="C22" t="n">
        <x:f>COUNTIFS('Query Set'!C5:C1000,A22,'Query Set'!H5:H1000,"EXISTING_SMOKE")</x:f>
        <x:v>0</x:v>
      </x:c>
      <x:c r="D22" t="n">
        <x:f>COUNTIFS('Query Set'!C5:C1000,A22,'Query Set'!H5:H1000,"PROVISIONAL_EVAL")</x:f>
        <x:v>1</x:v>
      </x:c>
    </x:row>
    <x:row r="23">
      <x:c r="A23" t="str">
        <x:v>学生事务</x:v>
      </x:c>
      <x:c r="B23" t="n">
        <x:f>COUNTIF('Query Set'!C5:C1000,A23)</x:f>
        <x:v>2</x:v>
      </x:c>
      <x:c r="C23" t="n">
        <x:f>COUNTIFS('Query Set'!C5:C1000,A23,'Query Set'!H5:H1000,"EXISTING_SMOKE")</x:f>
        <x:v>0</x:v>
      </x:c>
      <x:c r="D23" t="n">
        <x:f>COUNTIFS('Query Set'!C5:C1000,A23,'Query Set'!H5:H1000,"PROVISIONAL_EVAL")</x:f>
        <x:v>2</x:v>
      </x:c>
    </x:row>
    <x:row r="24">
      <x:c r="A24" t="str">
        <x:v>医疗健康</x:v>
      </x:c>
      <x:c r="B24" t="n">
        <x:f>COUNTIF('Query Set'!C5:C1000,A24)</x:f>
        <x:v>3</x:v>
      </x:c>
      <x:c r="C24" t="n">
        <x:f>COUNTIFS('Query Set'!C5:C1000,A24,'Query Set'!H5:H1000,"EXISTING_SMOKE")</x:f>
        <x:v>1</x:v>
      </x:c>
      <x:c r="D24" t="n">
        <x:f>COUNTIFS('Query Set'!C5:C1000,A24,'Query Set'!H5:H1000,"PROVISIONAL_EVAL")</x:f>
        <x:v>2</x:v>
      </x:c>
    </x:row>
    <x:row r="25">
      <x:c r="A25" t="str">
        <x:v>住宿服务</x:v>
      </x:c>
      <x:c r="B25" t="n">
        <x:f>COUNTIF('Query Set'!C5:C1000,A25)</x:f>
        <x:v>3</x:v>
      </x:c>
      <x:c r="C25" t="n">
        <x:f>COUNTIFS('Query Set'!C5:C1000,A25,'Query Set'!H5:H1000,"EXISTING_SMOKE")</x:f>
        <x:v>1</x:v>
      </x:c>
      <x:c r="D25" t="n">
        <x:f>COUNTIFS('Query Set'!C5:C1000,A25,'Query Set'!H5:H1000,"PROVISIONAL_EVAL")</x:f>
        <x:v>2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24664dae6fef47c8"/>
  </x:tableParts>
</x:worksheet>
</file>