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9681ca90ab43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7ae52e45ce74777"/>
    <x:sheet xmlns:r="http://schemas.openxmlformats.org/officeDocument/2006/relationships" name="Claim Comparison" sheetId="2" r:id="Re3ba91c91d904cee"/>
    <x:sheet xmlns:r="http://schemas.openxmlformats.org/officeDocument/2006/relationships" name="Question Comparison" sheetId="3" r:id="Rab83ad11ef704d2b"/>
    <x:sheet xmlns:r="http://schemas.openxmlformats.org/officeDocument/2006/relationships" name="Ablation" sheetId="4" r:id="Rdf3908b80288420b"/>
    <x:sheet xmlns:r="http://schemas.openxmlformats.org/officeDocument/2006/relationships" name="Metric Source" sheetId="5" r:id="R30d49b54c0a849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1"/>
      <x:color rgb="FF6B4F00"/>
      <x:name val="Carlito"/>
    </x:font>
    <x:font>
      <x:b/>
      <x:sz val="11"/>
      <x:color rgb="FFFFFFFF"/>
      <x:name val="Carlito"/>
    </x:font>
    <x:font>
      <x:b/>
      <x:sz val="11"/>
      <x:color rgb="FF0F4C5C"/>
      <x:name val="Carlito"/>
    </x:font>
    <x:font>
      <x:b/>
      <x:sz val="17"/>
      <x:color rgb="FFFFFFFF"/>
      <x:name val="Carlito"/>
    </x:font>
    <x:font>
      <x:i/>
      <x:sz val="11"/>
      <x:color rgb="FF334155"/>
      <x:name val="Carlito"/>
    </x:font>
    <x:font>
      <x:sz val="10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2B6F77"/>
      </x:patternFill>
    </x:fill>
    <x:fill>
      <x:patternFill patternType="solid">
        <x:fgColor rgb="FFDCEFF3"/>
      </x:patternFill>
    </x:fill>
    <x:fill>
      <x:patternFill patternType="solid">
        <x:fgColor rgb="FFEAF0F6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0" fillId="0" borderId="0" xfId="0" applyNumberFormat="1" applyFont="1" applyFill="1" applyBorder="1"/>
    <x:xf numFmtId="0" fontId="5" fillId="2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96c55616354939" /><Relationship Type="http://schemas.openxmlformats.org/officeDocument/2006/relationships/theme" Target="/xl/theme/theme1.xml" Id="R6a04a9636e564da6" /><Relationship Type="http://schemas.openxmlformats.org/officeDocument/2006/relationships/sharedStrings" Target="/xl/sharedStrings.xml" Id="Rd2849b906e514698" /><Relationship Type="http://schemas.openxmlformats.org/officeDocument/2006/relationships/worksheet" Target="/xl/worksheets/sheet1.xml" Id="Re7ae52e45ce74777" /><Relationship Type="http://schemas.openxmlformats.org/officeDocument/2006/relationships/worksheet" Target="/xl/worksheets/sheet2.xml" Id="Re3ba91c91d904cee" /><Relationship Type="http://schemas.openxmlformats.org/officeDocument/2006/relationships/worksheet" Target="/xl/worksheets/sheet3.xml" Id="Rab83ad11ef704d2b" /><Relationship Type="http://schemas.openxmlformats.org/officeDocument/2006/relationships/worksheet" Target="/xl/worksheets/sheet4.xml" Id="Rdf3908b80288420b" /><Relationship Type="http://schemas.openxmlformats.org/officeDocument/2006/relationships/worksheet" Target="/xl/worksheets/sheet5.xml" Id="R30d49b54c0a849f7" /></Relationships>
</file>

<file path=xl/tables/table1.xml><?xml version="1.0" encoding="utf-8"?>
<x:table xmlns:x="http://schemas.openxmlformats.org/spreadsheetml/2006/main" id="1" name="ClaimComparisonTable" displayName="ClaimComparisonTable" ref="A4:L108" headerRowCount="1" totalsRowCount="0" totalsRowShown="0">
  <x:tableColumns count="12">
    <x:tableColumn id="1" name="question_id"/>
    <x:tableColumn id="2" name="claim_id"/>
    <x:tableColumn id="3" name="claim"/>
    <x:tableColumn id="4" name="claim_type"/>
    <x:tableColumn id="5" name="v1_label"/>
    <x:tableColumn id="6" name="v2a_label"/>
    <x:tableColumn id="7" name="v2b_label"/>
    <x:tableColumn id="8" name="v2c_label"/>
    <x:tableColumn id="9" name="v2c_chosen_spans"/>
    <x:tableColumn id="10" name="change"/>
    <x:tableColumn id="11" name="human_support_label"/>
    <x:tableColumn id="12" name="human_comme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uestionComparisonTable" displayName="QuestionComparisonTable" ref="A3:M41" headerRowCount="1" totalsRowCount="0" totalsRowShown="0">
  <x:tableColumns count="13">
    <x:tableColumn id="1" name="question_id"/>
    <x:tableColumn id="2" name="question"/>
    <x:tableColumn id="3" name="category"/>
    <x:tableColumn id="4" name="v1_citation_status"/>
    <x:tableColumn id="5" name="v2_citation_status"/>
    <x:tableColumn id="6" name="claim_count"/>
    <x:tableColumn id="7" name="factual_claim_count"/>
    <x:tableColumn id="8" name="supported_claim_count"/>
    <x:tableColumn id="9" name="partial_claim_count"/>
    <x:tableColumn id="10" name="unsupported_claim_count"/>
    <x:tableColumn id="11" name="citation_count"/>
    <x:tableColumn id="12" name="answer_preservation"/>
    <x:tableColumn id="13" name="source_quality_failu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9945082990a47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119805561ce497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6" max="6" width="34" hidden="0" customWidth="1"/>
    <x:col min="7" max="7" width="34" hidden="0" customWidth="1"/>
  </x:cols>
  <x:sheetData>
    <x:row r="1" ht="34" customHeight="1">
      <x:c r="A1" s="2" t="str">
        <x:v>Citation Pipeline V1 vs V2</x:v>
      </x:c>
      <x:c r="B1" s="2"/>
      <x:c r="C1" s="2"/>
      <x:c r="D1" s="2"/>
      <x:c r="E1" s="2"/>
      <x:c r="F1" s="2"/>
    </x:row>
    <x:row r="2" ht="28" customHeight="1">
      <x:c r="A2" s="5" t="str">
        <x:v>PROVISIONAL_AUTO_EVAL — frozen answers, claims and Dense Top-5; human precision is N/A</x:v>
      </x:c>
      <x:c r="B2" s="5"/>
      <x:c r="C2" s="5"/>
      <x:c r="D2" s="5"/>
      <x:c r="E2" s="5"/>
      <x:c r="F2" s="5"/>
    </x:row>
    <x:row r="4">
      <x:c r="A4" s="7" t="str">
        <x:v>Metric</x:v>
      </x:c>
      <x:c r="B4" s="7" t="str">
        <x:v>V1</x:v>
      </x:c>
      <x:c r="C4" s="7" t="str">
        <x:v>V2-C</x:v>
      </x:c>
      <x:c r="D4" s="7" t="str">
        <x:v>Δ</x:v>
      </x:c>
      <x:c r="F4" s="7" t="str">
        <x:v>V1 Unsupported Reclassification</x:v>
      </x:c>
      <x:c r="G4" s="7" t="str">
        <x:v>Count</x:v>
      </x:c>
    </x:row>
    <x:row r="5">
      <x:c r="A5" s="9" t="str">
        <x:v>Claim Citation Coverage</x:v>
      </x:c>
      <x:c r="B5" s="10" t="n">
        <x:f>'Metric Source'!B2</x:f>
        <x:v>0.11538461538461539</x:v>
      </x:c>
      <x:c r="C5" s="10" t="n">
        <x:f>'Metric Source'!C2</x:f>
        <x:v>0.5192307692307693</x:v>
      </x:c>
      <x:c r="D5" s="10" t="n">
        <x:f>IF(OR(B5="",C5=""),"",C5-B5)</x:f>
        <x:v>0.40384615384615385</x:v>
      </x:c>
      <x:c r="F5" t="str">
        <x:v>V1_MAPPING_FAILURE</x:v>
      </x:c>
      <x:c r="G5" t="n">
        <x:f>'Metric Source'!F2</x:f>
        <x:v>32</x:v>
      </x:c>
    </x:row>
    <x:row r="6">
      <x:c r="A6" s="9" t="str">
        <x:v>Citation Precision Proxy</x:v>
      </x:c>
      <x:c r="B6" s="10" t="n">
        <x:f>'Metric Source'!B3</x:f>
        <x:v>1</x:v>
      </x:c>
      <x:c r="C6" s="10" t="n">
        <x:f>'Metric Source'!C3</x:f>
        <x:v>1</x:v>
      </x:c>
      <x:c r="D6" s="10" t="n">
        <x:f>IF(OR(B6="",C6=""),"",C6-B6)</x:f>
        <x:v>0</x:v>
      </x:c>
      <x:c r="F6" t="str">
        <x:v>TOP5_EVIDENCE_PARTIAL</x:v>
      </x:c>
      <x:c r="G6" t="n">
        <x:f>'Metric Source'!F3</x:f>
        <x:v>14</x:v>
      </x:c>
    </x:row>
    <x:row r="7">
      <x:c r="A7" s="9" t="str">
        <x:v>Answer Citation Compliance</x:v>
      </x:c>
      <x:c r="B7" s="10" t="n">
        <x:f>'Metric Source'!B4</x:f>
        <x:v>0.21052631578947367</x:v>
      </x:c>
      <x:c r="C7" s="10" t="n">
        <x:f>'Metric Source'!C4</x:f>
        <x:v>0.21052631578947367</x:v>
      </x:c>
      <x:c r="D7" s="10" t="n">
        <x:f>IF(OR(B7="",C7=""),"",C7-B7)</x:f>
        <x:v>0</x:v>
      </x:c>
      <x:c r="F7" t="str">
        <x:v>RETRIEVAL_FAILURE</x:v>
      </x:c>
      <x:c r="G7" t="n">
        <x:f>'Metric Source'!F4</x:f>
        <x:v>0</x:v>
      </x:c>
    </x:row>
    <x:row r="8">
      <x:c r="A8" s="9" t="str">
        <x:v>Answer Preservation</x:v>
      </x:c>
      <x:c r="B8" s="10" t="n">
        <x:f>'Metric Source'!B5</x:f>
        <x:v>1</x:v>
      </x:c>
      <x:c r="C8" s="10" t="n">
        <x:f>'Metric Source'!C5</x:f>
        <x:v>1</x:v>
      </x:c>
      <x:c r="D8" s="10" t="n">
        <x:f>IF(OR(B8="",C8=""),"",C8-B8)</x:f>
        <x:v>0</x:v>
      </x:c>
      <x:c r="F8" t="str">
        <x:v>SOURCE_QUALITY_FAILURE</x:v>
      </x:c>
      <x:c r="G8" t="n">
        <x:f>'Metric Source'!F5</x:f>
        <x:v>1</x:v>
      </x:c>
    </x:row>
    <x:row r="9">
      <x:c r="A9" s="9" t="str">
        <x:v>Assignments</x:v>
      </x:c>
      <x:c r="B9" t="n">
        <x:f>'Metric Source'!B6</x:f>
        <x:v>12</x:v>
      </x:c>
      <x:c r="C9" t="n">
        <x:f>'Metric Source'!C6</x:f>
        <x:v>55</x:v>
      </x:c>
      <x:c r="D9" t="n">
        <x:f>IF(OR(B9="",C9=""),"",C9-B9)</x:f>
        <x:v>43</x:v>
      </x:c>
      <x:c r="F9" t="str">
        <x:v>GENERATION_HALLUCINATION</x:v>
      </x:c>
      <x:c r="G9" t="n">
        <x:f>'Metric Source'!F6</x:f>
        <x:v>2</x:v>
      </x:c>
    </x:row>
    <x:row r="10">
      <x:c r="A10" s="9" t="str">
        <x:v>Human-validated precision</x:v>
      </x:c>
      <x:c r="B10" t="str">
        <x:f>'Metric Source'!B7</x:f>
        <x:v>N/A</x:v>
      </x:c>
      <x:c r="C10" t="str">
        <x:f>'Metric Source'!C7</x:f>
        <x:v>N/A</x:v>
      </x:c>
      <x:c r="D10" t="str">
        <x:f>IF(OR(B10="N/A",C10="N/A"),"N/A",C10-B10)</x:f>
        <x:v>N/A</x:v>
      </x:c>
      <x:c r="F10" t="str">
        <x:v>AMBIGUOUS</x:v>
      </x:c>
      <x:c r="G10" t="n">
        <x:f>'Metric Source'!F7</x:f>
        <x:v>43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9" hidden="0" customWidth="1"/>
    <x:col min="3" max="3" width="48" hidden="0" customWidth="1"/>
    <x:col min="4" max="4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8" hidden="0" customWidth="1"/>
    <x:col min="10" max="10" width="14" hidden="0" customWidth="1"/>
    <x:col min="11" max="11" width="22" hidden="0" customWidth="1"/>
    <x:col min="12" max="12" width="38" hidden="0" customWidth="1"/>
  </x:cols>
  <x:sheetData>
    <x:row r="1" ht="32" customHeight="1">
      <x:c r="A1" s="11" t="str">
        <x:v>104 Factual Claims — V1/V2 Paired Comparison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</x:row>
    <x:row r="2">
      <x:c r="A2" s="14" t="str">
        <x:v>Yellow columns are blank human inputs and do not contribute to metrics.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</x:row>
    <x:row r="4" ht="42" customHeight="1">
      <x:c r="A4" s="15" t="str">
        <x:v>question_id</x:v>
      </x:c>
      <x:c r="B4" s="15" t="str">
        <x:v>claim_id</x:v>
      </x:c>
      <x:c r="C4" s="15" t="str">
        <x:v>claim</x:v>
      </x:c>
      <x:c r="D4" s="15" t="str">
        <x:v>claim_type</x:v>
      </x:c>
      <x:c r="E4" s="15" t="str">
        <x:v>v1_label</x:v>
      </x:c>
      <x:c r="F4" s="15" t="str">
        <x:v>v2a_label</x:v>
      </x:c>
      <x:c r="G4" s="15" t="str">
        <x:v>v2b_label</x:v>
      </x:c>
      <x:c r="H4" s="15" t="str">
        <x:v>v2c_label</x:v>
      </x:c>
      <x:c r="I4" s="15" t="str">
        <x:v>v2c_chosen_spans</x:v>
      </x:c>
      <x:c r="J4" s="15" t="str">
        <x:v>change</x:v>
      </x:c>
      <x:c r="K4" s="15" t="str">
        <x:v>human_support_label</x:v>
      </x:c>
      <x:c r="L4" s="15" t="str">
        <x:v>human_comment</x:v>
      </x:c>
    </x:row>
    <x:row r="5">
      <x:c r="A5" s="18" t="str">
        <x:v>RET-01</x:v>
      </x:c>
      <x:c r="B5" s="18" t="str">
        <x:v>RET-01-C001</x:v>
      </x:c>
      <x:c r="C5" s="18" t="str">
        <x:v>清华大学本科生学籍管理规定由2016~2017学年度第25次校务会议通过，2019~20学年度第30次校务会议修订。</x:v>
      </x:c>
      <x:c r="D5" s="18" t="str">
        <x:v>NUMERIC</x:v>
      </x:c>
      <x:c r="E5" s="18" t="str">
        <x:v>SUPPORTED</x:v>
      </x:c>
      <x:c r="F5" s="18" t="str">
        <x:v>SUPPORTED</x:v>
      </x:c>
      <x:c r="G5" s="18" t="str">
        <x:v>SUPPORTED</x:v>
      </x:c>
      <x:c r="H5" s="18" t="str">
        <x:v>SUPPORTED</x:v>
      </x:c>
      <x:c r="I5" s="18" t="str">
        <x:v>RET-01-PROV0-STGPUB-0048-0000-S0003</x:v>
      </x:c>
      <x:c r="J5" s="18" t="str">
        <x:v>unchanged</x:v>
      </x:c>
      <x:c r="K5" s="19" t="str"/>
      <x:c r="L5" s="19" t="str"/>
    </x:row>
    <x:row r="6">
      <x:c r="A6" s="18" t="str">
        <x:v>RET-01</x:v>
      </x:c>
      <x:c r="B6" s="18" t="str">
        <x:v>RET-01-C002</x:v>
      </x:c>
      <x:c r="C6" s="18" t="str">
        <x:v>该规定适用于全校本科生的学籍管理。</x:v>
      </x:c>
      <x:c r="D6" s="18" t="str">
        <x:v>FACTUAL</x:v>
      </x:c>
      <x:c r="E6" s="18" t="str">
        <x:v>UNSUPPORTED</x:v>
      </x:c>
      <x:c r="F6" s="18" t="str">
        <x:v>SUPPORTED</x:v>
      </x:c>
      <x:c r="G6" s="18" t="str">
        <x:v>SUPPORTED</x:v>
      </x:c>
      <x:c r="H6" s="18" t="str">
        <x:v>SUPPORTED</x:v>
      </x:c>
      <x:c r="I6" s="18" t="str">
        <x:v>RET-01-PROV0-STGPUB-0048-0000-S0007</x:v>
      </x:c>
      <x:c r="J6" s="18" t="str">
        <x:v>improved</x:v>
      </x:c>
      <x:c r="K6" s="19" t="str"/>
      <x:c r="L6" s="19" t="str"/>
    </x:row>
    <x:row r="7">
      <x:c r="A7" s="18" t="str">
        <x:v>RET-02</x:v>
      </x:c>
      <x:c r="B7" s="18" t="str">
        <x:v>RET-02-C002</x:v>
      </x:c>
      <x:c r="C7" s="18" t="str">
        <x:v>具有学校学籍的全日制在校学生具有申请入住资格。</x:v>
      </x:c>
      <x:c r="D7" s="18" t="str">
        <x:v>PROCEDURAL</x:v>
      </x:c>
      <x:c r="E7" s="18" t="str">
        <x:v>UNSUPPORTED</x:v>
      </x:c>
      <x:c r="F7" s="18" t="str">
        <x:v>SUPPORTED</x:v>
      </x:c>
      <x:c r="G7" s="18" t="str">
        <x:v>SUPPORTED</x:v>
      </x:c>
      <x:c r="H7" s="18" t="str">
        <x:v>SUPPORTED</x:v>
      </x:c>
      <x:c r="I7" s="18" t="str">
        <x:v>RET-02-PROV0-STGPUB-0007-0000-S0001</x:v>
      </x:c>
      <x:c r="J7" s="18" t="str">
        <x:v>improved</x:v>
      </x:c>
      <x:c r="K7" s="19" t="str"/>
      <x:c r="L7" s="19" t="str"/>
    </x:row>
    <x:row r="8">
      <x:c r="A8" s="18" t="str">
        <x:v>RET-02</x:v>
      </x:c>
      <x:c r="B8" s="18" t="str">
        <x:v>RET-02-C003</x:v>
      </x:c>
      <x:c r="C8" s="18" t="str">
        <x:v>提出住宿申请，经批准后方可入住。</x:v>
      </x:c>
      <x:c r="D8" s="18" t="str">
        <x:v>PROCEDURAL</x:v>
      </x:c>
      <x:c r="E8" s="18" t="str">
        <x:v>UNSUPPORTED</x:v>
      </x:c>
      <x:c r="F8" s="18" t="str">
        <x:v>PARTIALLY_SUPPORTED</x:v>
      </x:c>
      <x:c r="G8" s="18" t="str">
        <x:v>PARTIALLY_SUPPORTED</x:v>
      </x:c>
      <x:c r="H8" s="18" t="str">
        <x:v>PARTIALLY_SUPPORTED</x:v>
      </x:c>
      <x:c r="I8" s="18" t="str">
        <x:v>RET-02-PROV0-STGPUB-0001-0001-S0007</x:v>
      </x:c>
      <x:c r="J8" s="18" t="str">
        <x:v>improved</x:v>
      </x:c>
      <x:c r="K8" s="19" t="str"/>
      <x:c r="L8" s="19" t="str"/>
    </x:row>
    <x:row r="9">
      <x:c r="A9" s="18" t="str">
        <x:v>RET-02</x:v>
      </x:c>
      <x:c r="B9" s="18" t="str">
        <x:v>RET-02-C004</x:v>
      </x:c>
      <x:c r="C9" s="18" t="str">
        <x:v>与学生社区管理服务中心签订住宿协议。</x:v>
      </x:c>
      <x:c r="D9" s="18" t="str">
        <x:v>PROCEDURAL</x:v>
      </x:c>
      <x:c r="E9" s="18" t="str">
        <x:v>UNSUPPORTED</x:v>
      </x:c>
      <x:c r="F9" s="18" t="str">
        <x:v>SUPPORTED</x:v>
      </x:c>
      <x:c r="G9" s="18" t="str">
        <x:v>SUPPORTED</x:v>
      </x:c>
      <x:c r="H9" s="18" t="str">
        <x:v>SUPPORTED</x:v>
      </x:c>
      <x:c r="I9" s="18" t="str">
        <x:v>RET-02-PROV0-STGPUB-0007-0000-S0004</x:v>
      </x:c>
      <x:c r="J9" s="18" t="str">
        <x:v>improved</x:v>
      </x:c>
      <x:c r="K9" s="19" t="str"/>
      <x:c r="L9" s="19" t="str"/>
    </x:row>
    <x:row r="10">
      <x:c r="A10" s="18" t="str">
        <x:v>RET-02</x:v>
      </x:c>
      <x:c r="B10" s="18" t="str">
        <x:v>RET-02-C005</x:v>
      </x:c>
      <x:c r="C10" s="18" t="str">
        <x:v>学生社区管理服务中心统筹安排。</x:v>
      </x:c>
      <x:c r="D10" s="18" t="str">
        <x:v>ENTITY</x:v>
      </x:c>
      <x:c r="E10" s="18" t="str">
        <x:v>UNSUPPORTED</x:v>
      </x:c>
      <x:c r="F10" s="18" t="str">
        <x:v>UNSUPPORTED</x:v>
      </x:c>
      <x:c r="G10" s="18" t="str">
        <x:v>UNSUPPORTED</x:v>
      </x:c>
      <x:c r="H10" s="18" t="str">
        <x:v>UNSUPPORTED</x:v>
      </x:c>
      <x:c r="I10" s="18" t="str"/>
      <x:c r="J10" s="18" t="str">
        <x:v>unchanged</x:v>
      </x:c>
      <x:c r="K10" s="19" t="str"/>
      <x:c r="L10" s="19" t="str"/>
    </x:row>
    <x:row r="11">
      <x:c r="A11" s="18" t="str">
        <x:v>RET-02</x:v>
      </x:c>
      <x:c r="B11" s="18" t="str">
        <x:v>RET-02-C006</x:v>
      </x:c>
      <x:c r="C11" s="18" t="str">
        <x:v>如需调整，提前告知相关学生配合搬家。</x:v>
      </x:c>
      <x:c r="D11" s="18" t="str">
        <x:v>PROCEDURAL</x:v>
      </x:c>
      <x:c r="E11" s="18" t="str">
        <x:v>UNSUPPORTED</x:v>
      </x:c>
      <x:c r="F11" s="18" t="str">
        <x:v>PARTIALLY_SUPPORTED</x:v>
      </x:c>
      <x:c r="G11" s="18" t="str">
        <x:v>PARTIALLY_SUPPORTED</x:v>
      </x:c>
      <x:c r="H11" s="18" t="str">
        <x:v>PARTIALLY_SUPPORTED</x:v>
      </x:c>
      <x:c r="I11" s="18" t="str">
        <x:v>RET-02-PROV0-STGPUB-0007-0000-S0007</x:v>
      </x:c>
      <x:c r="J11" s="18" t="str">
        <x:v>improved</x:v>
      </x:c>
      <x:c r="K11" s="19" t="str"/>
      <x:c r="L11" s="19" t="str"/>
    </x:row>
    <x:row r="12">
      <x:c r="A12" s="18" t="str">
        <x:v>RET-02</x:v>
      </x:c>
      <x:c r="B12" s="18" t="str">
        <x:v>RET-02-C007</x:v>
      </x:c>
      <x:c r="C12" s="18" t="str">
        <x:v>办理入住手续后入住指定床位，未经批准不得擅自调换。</x:v>
      </x:c>
      <x:c r="D12" s="18" t="str">
        <x:v>PROCEDURAL</x:v>
      </x:c>
      <x:c r="E12" s="18" t="str">
        <x:v>UNSUPPORTED</x:v>
      </x:c>
      <x:c r="F12" s="18" t="str">
        <x:v>PARTIALLY_SUPPORTED</x:v>
      </x:c>
      <x:c r="G12" s="18" t="str">
        <x:v>SUPPORTED</x:v>
      </x:c>
      <x:c r="H12" s="18" t="str">
        <x:v>SUPPORTED</x:v>
      </x:c>
      <x:c r="I12" s="18" t="str">
        <x:v>RET-02-PROV0-STGPUB-0007-0000-S0013</x:v>
      </x:c>
      <x:c r="J12" s="18" t="str">
        <x:v>improved</x:v>
      </x:c>
      <x:c r="K12" s="19" t="str"/>
      <x:c r="L12" s="19" t="str"/>
    </x:row>
    <x:row r="13">
      <x:c r="A13" s="18" t="str">
        <x:v>RET-02</x:v>
      </x:c>
      <x:c r="B13" s="18" t="str">
        <x:v>RET-02-C008</x:v>
      </x:c>
      <x:c r="C13" s="18" t="str">
        <x:v>遇疾病等特殊情况需调换床位，</x:v>
      </x:c>
      <x:c r="D13" s="18" t="str">
        <x:v>FACTUAL</x:v>
      </x:c>
      <x:c r="E13" s="18" t="str">
        <x:v>UNSUPPORTED</x:v>
      </x:c>
      <x:c r="F13" s="18" t="str">
        <x:v>UNSUPPORTED</x:v>
      </x:c>
      <x:c r="G13" s="18" t="str">
        <x:v>PARTIALLY_SUPPORTED</x:v>
      </x:c>
      <x:c r="H13" s="18" t="str">
        <x:v>PARTIALLY_SUPPORTED</x:v>
      </x:c>
      <x:c r="I13" s="18" t="str">
        <x:v>RET-02-PROV0-STGPUB-0007-0000-S0016</x:v>
      </x:c>
      <x:c r="J13" s="18" t="str">
        <x:v>improved</x:v>
      </x:c>
      <x:c r="K13" s="19" t="str"/>
      <x:c r="L13" s="19" t="str"/>
    </x:row>
    <x:row r="14">
      <x:c r="A14" s="18" t="str">
        <x:v>RET-02</x:v>
      </x:c>
      <x:c r="B14" s="18" t="str">
        <x:v>RET-02-C009</x:v>
      </x:c>
      <x:c r="C14" s="18" t="str">
        <x:v>应向院系和学生社区管理服务中心申请。</x:v>
      </x:c>
      <x:c r="D14" s="18" t="str">
        <x:v>PROCEDURAL</x:v>
      </x:c>
      <x:c r="E14" s="18" t="str">
        <x:v>UNSUPPORTED</x:v>
      </x:c>
      <x:c r="F14" s="18" t="str">
        <x:v>UNSUPPORTED</x:v>
      </x:c>
      <x:c r="G14" s="18" t="str">
        <x:v>UNSUPPORTED</x:v>
      </x:c>
      <x:c r="H14" s="18" t="str">
        <x:v>UNSUPPORTED</x:v>
      </x:c>
      <x:c r="I14" s="18" t="str"/>
      <x:c r="J14" s="18" t="str">
        <x:v>unchanged</x:v>
      </x:c>
      <x:c r="K14" s="19" t="str"/>
      <x:c r="L14" s="19" t="str"/>
    </x:row>
    <x:row r="15">
      <x:c r="A15" s="18" t="str">
        <x:v>RET-02</x:v>
      </x:c>
      <x:c r="B15" s="18" t="str">
        <x:v>RET-02-C010</x:v>
      </x:c>
      <x:c r="C15" s="18" t="str">
        <x:v>毕业、住宿协议到期、退学</x:v>
      </x:c>
      <x:c r="D15" s="18" t="str">
        <x:v>FACTUAL</x:v>
      </x:c>
      <x:c r="E15" s="18" t="str">
        <x:v>UNSUPPORTED</x:v>
      </x:c>
      <x:c r="F15" s="18" t="str">
        <x:v>UNSUPPORTED</x:v>
      </x:c>
      <x:c r="G15" s="18" t="str">
        <x:v>PARTIALLY_SUPPORTED</x:v>
      </x:c>
      <x:c r="H15" s="18" t="str">
        <x:v>PARTIALLY_SUPPORTED</x:v>
      </x:c>
      <x:c r="I15" s="18" t="str">
        <x:v>RET-02-PROV0-STGPUB-0001-0001-S0033</x:v>
      </x:c>
      <x:c r="J15" s="18" t="str">
        <x:v>improved</x:v>
      </x:c>
      <x:c r="K15" s="19" t="str"/>
      <x:c r="L15" s="19" t="str"/>
    </x:row>
    <x:row r="16">
      <x:c r="A16" s="18" t="str">
        <x:v>RET-03</x:v>
      </x:c>
      <x:c r="B16" s="18" t="str">
        <x:v>RET-03-C001</x:v>
      </x:c>
      <x:c r="C16" s="18" t="str">
        <x:v>清华校园网提供有线网络服务，无线网络服务，GPON光纤入户服务等。</x:v>
      </x:c>
      <x:c r="D16" s="18" t="str">
        <x:v>LOCATION</x:v>
      </x:c>
      <x:c r="E16" s="18" t="str">
        <x:v>UNSUPPORTED</x:v>
      </x:c>
      <x:c r="F16" s="18" t="str">
        <x:v>SUPPORTED</x:v>
      </x:c>
      <x:c r="G16" s="18" t="str">
        <x:v>SUPPORTED</x:v>
      </x:c>
      <x:c r="H16" s="18" t="str">
        <x:v>SUPPORTED</x:v>
      </x:c>
      <x:c r="I16" s="18" t="str">
        <x:v>RET-03-PROV0-STGPUB-0104-0001-S0004</x:v>
      </x:c>
      <x:c r="J16" s="18" t="str">
        <x:v>improved</x:v>
      </x:c>
      <x:c r="K16" s="19" t="str"/>
      <x:c r="L16" s="19" t="str"/>
    </x:row>
    <x:row r="17">
      <x:c r="A17" s="18" t="str">
        <x:v>RET-03</x:v>
      </x:c>
      <x:c r="B17" s="18" t="str">
        <x:v>RET-03-C002</x:v>
      </x:c>
      <x:c r="C17" s="18" t="str">
        <x:v>账号或网络故障可联系热线服务或在线服务进行处理。</x:v>
      </x:c>
      <x:c r="D17" s="18" t="str">
        <x:v>PROCEDURAL</x:v>
      </x:c>
      <x:c r="E17" s="18" t="str">
        <x:v>UNSUPPORTED</x:v>
      </x:c>
      <x:c r="F17" s="18" t="str">
        <x:v>UNSUPPORTED</x:v>
      </x:c>
      <x:c r="G17" s="18" t="str">
        <x:v>UNSUPPORTED</x:v>
      </x:c>
      <x:c r="H17" s="18" t="str">
        <x:v>UNSUPPORTED</x:v>
      </x:c>
      <x:c r="I17" s="18" t="str"/>
      <x:c r="J17" s="18" t="str">
        <x:v>unchanged</x:v>
      </x:c>
      <x:c r="K17" s="19" t="str"/>
      <x:c r="L17" s="19" t="str"/>
    </x:row>
    <x:row r="18">
      <x:c r="A18" s="18" t="str">
        <x:v>RET-04</x:v>
      </x:c>
      <x:c r="B18" s="18" t="str">
        <x:v>RET-04-C001</x:v>
      </x:c>
      <x:c r="C18" s="18" t="str">
        <x:v>清华校医院：门诊-检验医学科、输血科、超声科等；</x:v>
      </x:c>
      <x:c r="D18" s="18" t="str">
        <x:v>ENTITY</x:v>
      </x:c>
      <x:c r="E18" s="18" t="str">
        <x:v>UNSUPPORTED</x:v>
      </x:c>
      <x:c r="F18" s="18" t="str">
        <x:v>UNSUPPORTED</x:v>
      </x:c>
      <x:c r="G18" s="18" t="str">
        <x:v>UNSUPPORTED</x:v>
      </x:c>
      <x:c r="H18" s="18" t="str">
        <x:v>UNSUPPORTED</x:v>
      </x:c>
      <x:c r="I18" s="18" t="str"/>
      <x:c r="J18" s="18" t="str">
        <x:v>unchanged</x:v>
      </x:c>
      <x:c r="K18" s="19" t="str"/>
      <x:c r="L18" s="19" t="str"/>
    </x:row>
    <x:row r="19">
      <x:c r="A19" s="18" t="str">
        <x:v>RET-04</x:v>
      </x:c>
      <x:c r="B19" s="18" t="str">
        <x:v>RET-04-C002</x:v>
      </x:c>
      <x:c r="C19" s="18" t="str">
        <x:v>报销需咨询财务部门；</x:v>
      </x:c>
      <x:c r="D19" s="18" t="str">
        <x:v>UNCERTAIN</x:v>
      </x:c>
      <x:c r="E19" s="18" t="str">
        <x:v>UNSUPPORTED</x:v>
      </x:c>
      <x:c r="F19" s="18" t="str">
        <x:v>UNSUPPORTED</x:v>
      </x:c>
      <x:c r="G19" s="18" t="str">
        <x:v>UNSUPPORTED</x:v>
      </x:c>
      <x:c r="H19" s="18" t="str">
        <x:v>UNSUPPORTED</x:v>
      </x:c>
      <x:c r="I19" s="18" t="str"/>
      <x:c r="J19" s="18" t="str">
        <x:v>unchanged</x:v>
      </x:c>
      <x:c r="K19" s="19" t="str"/>
      <x:c r="L19" s="19" t="str"/>
    </x:row>
    <x:row r="20">
      <x:c r="A20" s="18" t="str">
        <x:v>RET-04</x:v>
      </x:c>
      <x:c r="B20" s="18" t="str">
        <x:v>RET-04-C003</x:v>
      </x:c>
      <x:c r="C20" s="18" t="str">
        <x:v>就医流程可至官网查询。</x:v>
      </x:c>
      <x:c r="D20" s="18" t="str">
        <x:v>UNCERTAIN</x:v>
      </x:c>
      <x:c r="E20" s="18" t="str">
        <x:v>UNSUPPORTED</x:v>
      </x:c>
      <x:c r="F20" s="18" t="str">
        <x:v>UNSUPPORTED</x:v>
      </x:c>
      <x:c r="G20" s="18" t="str">
        <x:v>UNSUPPORTED</x:v>
      </x:c>
      <x:c r="H20" s="18" t="str">
        <x:v>UNSUPPORTED</x:v>
      </x:c>
      <x:c r="I20" s="18" t="str"/>
      <x:c r="J20" s="18" t="str">
        <x:v>unchanged</x:v>
      </x:c>
      <x:c r="K20" s="19" t="str"/>
      <x:c r="L20" s="19" t="str"/>
    </x:row>
    <x:row r="21">
      <x:c r="A21" s="18" t="str">
        <x:v>RET-06</x:v>
      </x:c>
      <x:c r="B21" s="18" t="str">
        <x:v>RET-06-C002</x:v>
      </x:c>
      <x:c r="C21" s="18" t="str">
        <x:v>特等奖学金面向全体本科生、研究生分别组织评选，每年表彰不超过二十名学生。</x:v>
      </x:c>
      <x:c r="D21" s="18" t="str">
        <x:v>TEMPORAL</x:v>
      </x:c>
      <x:c r="E21" s="18" t="str">
        <x:v>UNSUPPORTED</x:v>
      </x:c>
      <x:c r="F21" s="18" t="str">
        <x:v>SUPPORTED</x:v>
      </x:c>
      <x:c r="G21" s="18" t="str">
        <x:v>SUPPORTED</x:v>
      </x:c>
      <x:c r="H21" s="18" t="str">
        <x:v>SUPPORTED</x:v>
      </x:c>
      <x:c r="I21" s="18" t="str">
        <x:v>RET-06-PROV0-RESV1-0016-0000-S0023</x:v>
      </x:c>
      <x:c r="J21" s="18" t="str">
        <x:v>improved</x:v>
      </x:c>
      <x:c r="K21" s="19" t="str"/>
      <x:c r="L21" s="19" t="str"/>
    </x:row>
    <x:row r="22">
      <x:c r="A22" s="18" t="str">
        <x:v>RET-06</x:v>
      </x:c>
      <x:c r="B22" s="18" t="str">
        <x:v>RET-06-C003</x:v>
      </x:c>
      <x:c r="C22" s="18" t="str">
        <x:v>评选条件包括基本申请条件、道德品质优秀、学风端正、全面发展等。</x:v>
      </x:c>
      <x:c r="D22" s="18" t="str">
        <x:v>PROCEDURAL</x:v>
      </x:c>
      <x:c r="E22" s="18" t="str">
        <x:v>UNSUPPORTED</x:v>
      </x:c>
      <x:c r="F22" s="18" t="str">
        <x:v>UNSUPPORTED</x:v>
      </x:c>
      <x:c r="G22" s="18" t="str">
        <x:v>UNSUPPORTED</x:v>
      </x:c>
      <x:c r="H22" s="18" t="str">
        <x:v>UNSUPPORTED</x:v>
      </x:c>
      <x:c r="I22" s="18" t="str"/>
      <x:c r="J22" s="18" t="str">
        <x:v>unchanged</x:v>
      </x:c>
      <x:c r="K22" s="19" t="str"/>
      <x:c r="L22" s="19" t="str"/>
    </x:row>
    <x:row r="23">
      <x:c r="A23" s="18" t="str">
        <x:v>RET-06</x:v>
      </x:c>
      <x:c r="B23" s="18" t="str">
        <x:v>RET-06-C004</x:v>
      </x:c>
      <x:c r="C23" s="18" t="str">
        <x:v>现场答辩形式进行复评，形成推荐名单，提请校务会议审议。</x:v>
      </x:c>
      <x:c r="D23" s="18" t="str">
        <x:v>FACTUAL</x:v>
      </x:c>
      <x:c r="E23" s="18" t="str">
        <x:v>UNSUPPORTED</x:v>
      </x:c>
      <x:c r="F23" s="18" t="str">
        <x:v>SUPPORTED</x:v>
      </x:c>
      <x:c r="G23" s="18" t="str">
        <x:v>SUPPORTED</x:v>
      </x:c>
      <x:c r="H23" s="18" t="str">
        <x:v>SUPPORTED</x:v>
      </x:c>
      <x:c r="I23" s="18" t="str">
        <x:v>RET-06-PROV0-RESV1-0016-0001-S0001</x:v>
      </x:c>
      <x:c r="J23" s="18" t="str">
        <x:v>improved</x:v>
      </x:c>
      <x:c r="K23" s="19" t="str"/>
      <x:c r="L23" s="19" t="str"/>
    </x:row>
    <x:row r="24">
      <x:c r="A24" s="18" t="str">
        <x:v>RET-06</x:v>
      </x:c>
      <x:c r="B24" s="18" t="str">
        <x:v>RET-06-C005</x:v>
      </x:c>
      <x:c r="C24" s="18" t="str">
        <x:v>奖学金获得者需在评选当年发放，并颁发荣誉证书。</x:v>
      </x:c>
      <x:c r="D24" s="18" t="str">
        <x:v>FACTUAL</x:v>
      </x:c>
      <x:c r="E24" s="18" t="str">
        <x:v>UNSUPPORTED</x:v>
      </x:c>
      <x:c r="F24" s="18" t="str">
        <x:v>SUPPORTED</x:v>
      </x:c>
      <x:c r="G24" s="18" t="str">
        <x:v>SUPPORTED</x:v>
      </x:c>
      <x:c r="H24" s="18" t="str">
        <x:v>SUPPORTED</x:v>
      </x:c>
      <x:c r="I24" s="18" t="str">
        <x:v>RET-06-PROV0-STGPUB-0029-0002-S0001</x:v>
      </x:c>
      <x:c r="J24" s="18" t="str">
        <x:v>improved</x:v>
      </x:c>
      <x:c r="K24" s="19" t="str"/>
      <x:c r="L24" s="19" t="str"/>
    </x:row>
    <x:row r="25">
      <x:c r="A25" s="18" t="str">
        <x:v>RET-07</x:v>
      </x:c>
      <x:c r="B25" s="18" t="str">
        <x:v>RET-07-C001</x:v>
      </x:c>
      <x:c r="C25" s="18" t="str">
        <x:v>清华学生可预约个体咨询，</x:v>
      </x:c>
      <x:c r="D25" s="18" t="str">
        <x:v>PROCEDURAL</x:v>
      </x:c>
      <x:c r="E25" s="18" t="str">
        <x:v>UNSUPPORTED</x:v>
      </x:c>
      <x:c r="F25" s="18" t="str">
        <x:v>UNSUPPORTED</x:v>
      </x:c>
      <x:c r="G25" s="18" t="str">
        <x:v>UNSUPPORTED</x:v>
      </x:c>
      <x:c r="H25" s="18" t="str">
        <x:v>UNSUPPORTED</x:v>
      </x:c>
      <x:c r="I25" s="18" t="str"/>
      <x:c r="J25" s="18" t="str">
        <x:v>unchanged</x:v>
      </x:c>
      <x:c r="K25" s="19" t="str"/>
      <x:c r="L25" s="19" t="str"/>
    </x:row>
    <x:row r="26">
      <x:c r="A26" s="18" t="str">
        <x:v>RET-07</x:v>
      </x:c>
      <x:c r="B26" s="18" t="str">
        <x:v>RET-07-C002</x:v>
      </x:c>
      <x:c r="C26" s="18" t="str">
        <x:v>由30余位咨询师提供个性化指导。</x:v>
      </x:c>
      <x:c r="D26" s="18" t="str">
        <x:v>NUMERIC</x:v>
      </x:c>
      <x:c r="E26" s="18" t="str">
        <x:v>UNSUPPORTED</x:v>
      </x:c>
      <x:c r="F26" s="18" t="str">
        <x:v>SUPPORTED</x:v>
      </x:c>
      <x:c r="G26" s="18" t="str">
        <x:v>SUPPORTED</x:v>
      </x:c>
      <x:c r="H26" s="18" t="str">
        <x:v>SUPPORTED</x:v>
      </x:c>
      <x:c r="I26" s="18" t="str">
        <x:v>RET-07-PROV0-STGPUB-0005-0000-S0001</x:v>
      </x:c>
      <x:c r="J26" s="18" t="str">
        <x:v>improved</x:v>
      </x:c>
      <x:c r="K26" s="19" t="str"/>
      <x:c r="L26" s="19" t="str"/>
    </x:row>
    <x:row r="27">
      <x:c r="A27" s="18" t="str">
        <x:v>RET-07</x:v>
      </x:c>
      <x:c r="B27" s="18" t="str">
        <x:v>RET-07-C003</x:v>
      </x:c>
      <x:c r="C27" s="18" t="str">
        <x:v>生涯咨询涵盖自我了解、职业探索、方向选择、简历与面试、求职心理等方面。</x:v>
      </x:c>
      <x:c r="D27" s="18" t="str">
        <x:v>PROCEDURAL</x:v>
      </x:c>
      <x:c r="E27" s="18" t="str">
        <x:v>PARTIALLY_SUPPORTED</x:v>
      </x:c>
      <x:c r="F27" s="18" t="str">
        <x:v>PARTIALLY_SUPPORTED</x:v>
      </x:c>
      <x:c r="G27" s="18" t="str">
        <x:v>PARTIALLY_SUPPORTED</x:v>
      </x:c>
      <x:c r="H27" s="18" t="str">
        <x:v>PARTIALLY_SUPPORTED</x:v>
      </x:c>
      <x:c r="I27" s="18" t="str">
        <x:v>RET-07-PROV0-STGPUB-0005-0006-S0014</x:v>
      </x:c>
      <x:c r="J27" s="18" t="str">
        <x:v>unchanged</x:v>
      </x:c>
      <x:c r="K27" s="19" t="str"/>
      <x:c r="L27" s="19" t="str"/>
    </x:row>
    <x:row r="28">
      <x:c r="A28" s="18" t="str">
        <x:v>RET-07</x:v>
      </x:c>
      <x:c r="B28" s="18" t="str">
        <x:v>RET-07-C004</x:v>
      </x:c>
      <x:c r="C28" s="18" t="str">
        <x:v>清华学生职业发展指导中心有近30位咨询师，</x:v>
      </x:c>
      <x:c r="D28" s="18" t="str">
        <x:v>NUMERIC</x:v>
      </x:c>
      <x:c r="E28" s="18" t="str">
        <x:v>UNSUPPORTED</x:v>
      </x:c>
      <x:c r="F28" s="18" t="str">
        <x:v>UNSUPPORTED</x:v>
      </x:c>
      <x:c r="G28" s="18" t="str">
        <x:v>UNSUPPORTED</x:v>
      </x:c>
      <x:c r="H28" s="18" t="str">
        <x:v>UNSUPPORTED</x:v>
      </x:c>
      <x:c r="I28" s="18" t="str"/>
      <x:c r="J28" s="18" t="str">
        <x:v>unchanged</x:v>
      </x:c>
      <x:c r="K28" s="19" t="str"/>
      <x:c r="L28" s="19" t="str"/>
    </x:row>
    <x:row r="29">
      <x:c r="A29" s="18" t="str">
        <x:v>RET-07</x:v>
      </x:c>
      <x:c r="B29" s="18" t="str">
        <x:v>RET-07-C005</x:v>
      </x:c>
      <x:c r="C29" s="18" t="str">
        <x:v>可为不同学历、不同年级的学生提供系统性的生涯辅导。</x:v>
      </x:c>
      <x:c r="D29" s="18" t="str">
        <x:v>ENTITY</x:v>
      </x:c>
      <x:c r="E29" s="18" t="str">
        <x:v>UNSUPPORTED</x:v>
      </x:c>
      <x:c r="F29" s="18" t="str">
        <x:v>PARTIALLY_SUPPORTED</x:v>
      </x:c>
      <x:c r="G29" s="18" t="str">
        <x:v>PARTIALLY_SUPPORTED</x:v>
      </x:c>
      <x:c r="H29" s="18" t="str">
        <x:v>PARTIALLY_SUPPORTED</x:v>
      </x:c>
      <x:c r="I29" s="18" t="str">
        <x:v>RET-07-PROV0-STGPUB-0005-0005-S0002</x:v>
      </x:c>
      <x:c r="J29" s="18" t="str">
        <x:v>improved</x:v>
      </x:c>
      <x:c r="K29" s="19" t="str"/>
      <x:c r="L29" s="19" t="str"/>
    </x:row>
    <x:row r="30">
      <x:c r="A30" s="18" t="str">
        <x:v>RET-08</x:v>
      </x:c>
      <x:c r="B30" s="18" t="str">
        <x:v>RET-08-C001</x:v>
      </x:c>
      <x:c r="C30" s="18" t="str">
        <x:v>清华大学食堂信息：[C1]丁香园食堂、闻馨园食堂、双清园食堂；</x:v>
      </x:c>
      <x:c r="D30" s="18" t="str">
        <x:v>LOCATION</x:v>
      </x:c>
      <x:c r="E30" s="18" t="str">
        <x:v>UNSUPPORTED</x:v>
      </x:c>
      <x:c r="F30" s="18" t="str">
        <x:v>UNSUPPORTED</x:v>
      </x:c>
      <x:c r="G30" s="18" t="str">
        <x:v>UNSUPPORTED</x:v>
      </x:c>
      <x:c r="H30" s="18" t="str">
        <x:v>UNSUPPORTED</x:v>
      </x:c>
      <x:c r="I30" s="18" t="str"/>
      <x:c r="J30" s="18" t="str">
        <x:v>unchanged</x:v>
      </x:c>
      <x:c r="K30" s="19" t="str"/>
      <x:c r="L30" s="19" t="str"/>
    </x:row>
    <x:row r="31">
      <x:c r="A31" s="18" t="str">
        <x:v>RET-08</x:v>
      </x:c>
      <x:c r="B31" s="18" t="str">
        <x:v>RET-08-C002</x:v>
      </x:c>
      <x:c r="C31" s="18" t="str">
        <x:v>餐饮服务：[C2]饮食服务中心；</x:v>
      </x:c>
      <x:c r="D31" s="18" t="str">
        <x:v>ENTITY</x:v>
      </x:c>
      <x:c r="E31" s="18" t="str">
        <x:v>UNSUPPORTED</x:v>
      </x:c>
      <x:c r="F31" s="18" t="str">
        <x:v>UNSUPPORTED</x:v>
      </x:c>
      <x:c r="G31" s="18" t="str">
        <x:v>UNSUPPORTED</x:v>
      </x:c>
      <x:c r="H31" s="18" t="str">
        <x:v>UNSUPPORTED</x:v>
      </x:c>
      <x:c r="I31" s="18" t="str"/>
      <x:c r="J31" s="18" t="str">
        <x:v>unchanged</x:v>
      </x:c>
      <x:c r="K31" s="19" t="str"/>
      <x:c r="L31" s="19" t="str"/>
    </x:row>
    <x:row r="32">
      <x:c r="A32" s="18" t="str">
        <x:v>RET-08</x:v>
      </x:c>
      <x:c r="B32" s="18" t="str">
        <x:v>RET-08-C003</x:v>
      </x:c>
      <x:c r="C32" s="18" t="str">
        <x:v>就餐信息：[C5]教工餐厅。</x:v>
      </x:c>
      <x:c r="D32" s="18" t="str">
        <x:v>FACTUAL</x:v>
      </x:c>
      <x:c r="E32" s="18" t="str">
        <x:v>UNSUPPORTED</x:v>
      </x:c>
      <x:c r="F32" s="18" t="str">
        <x:v>UNSUPPORTED</x:v>
      </x:c>
      <x:c r="G32" s="18" t="str">
        <x:v>UNSUPPORTED</x:v>
      </x:c>
      <x:c r="H32" s="18" t="str">
        <x:v>UNSUPPORTED</x:v>
      </x:c>
      <x:c r="I32" s="18" t="str"/>
      <x:c r="J32" s="18" t="str">
        <x:v>unchanged</x:v>
      </x:c>
      <x:c r="K32" s="19" t="str"/>
      <x:c r="L32" s="19" t="str"/>
    </x:row>
    <x:row r="33">
      <x:c r="A33" s="18" t="str">
        <x:v>RET-10</x:v>
      </x:c>
      <x:c r="B33" s="18" t="str">
        <x:v>RET-10-C001</x:v>
      </x:c>
      <x:c r="C33" s="18" t="str">
        <x:v>体育场馆预约：应用导航-场地资源预约。</x:v>
      </x:c>
      <x:c r="D33" s="18" t="str">
        <x:v>LOCATION</x:v>
      </x:c>
      <x:c r="E33" s="18" t="str">
        <x:v>UNSUPPORTED</x:v>
      </x:c>
      <x:c r="F33" s="18" t="str">
        <x:v>UNSUPPORTED</x:v>
      </x:c>
      <x:c r="G33" s="18" t="str">
        <x:v>UNSUPPORTED</x:v>
      </x:c>
      <x:c r="H33" s="18" t="str">
        <x:v>UNSUPPORTED</x:v>
      </x:c>
      <x:c r="I33" s="18" t="str"/>
      <x:c r="J33" s="18" t="str">
        <x:v>unchanged</x:v>
      </x:c>
      <x:c r="K33" s="19" t="str"/>
      <x:c r="L33" s="19" t="str"/>
    </x:row>
    <x:row r="34">
      <x:c r="A34" s="18" t="str">
        <x:v>RET-10</x:v>
      </x:c>
      <x:c r="B34" s="18" t="str">
        <x:v>RET-10-C002</x:v>
      </x:c>
      <x:c r="C34" s="18" t="str">
        <x:v>开放时间及使用规则：根据当前资料无法确认。</x:v>
      </x:c>
      <x:c r="D34" s="18" t="str">
        <x:v>UNCERTAIN</x:v>
      </x:c>
      <x:c r="E34" s="18" t="str">
        <x:v>UNSUPPORTED</x:v>
      </x:c>
      <x:c r="F34" s="18" t="str">
        <x:v>UNSUPPORTED</x:v>
      </x:c>
      <x:c r="G34" s="18" t="str">
        <x:v>UNSUPPORTED</x:v>
      </x:c>
      <x:c r="H34" s="18" t="str">
        <x:v>UNSUPPORTED</x:v>
      </x:c>
      <x:c r="I34" s="18" t="str"/>
      <x:c r="J34" s="18" t="str">
        <x:v>unchanged</x:v>
      </x:c>
      <x:c r="K34" s="19" t="str"/>
      <x:c r="L34" s="19" t="str"/>
    </x:row>
    <x:row r="35">
      <x:c r="A35" s="18" t="str">
        <x:v>PROV-001</x:v>
      </x:c>
      <x:c r="B35" s="18" t="str">
        <x:v>PROV-001-C001</x:v>
      </x:c>
      <x:c r="C35" s="18" t="str">
        <x:v>新生不能按时报到时，</x:v>
      </x:c>
      <x:c r="D35" s="18" t="str">
        <x:v>FACTUAL</x:v>
      </x:c>
      <x:c r="E35" s="18" t="str">
        <x:v>UNSUPPORTED</x:v>
      </x:c>
      <x:c r="F35" s="18" t="str">
        <x:v>UNSUPPORTED</x:v>
      </x:c>
      <x:c r="G35" s="18" t="str">
        <x:v>UNSUPPORTED</x:v>
      </x:c>
      <x:c r="H35" s="18" t="str">
        <x:v>UNSUPPORTED</x:v>
      </x:c>
      <x:c r="I35" s="18" t="str"/>
      <x:c r="J35" s="18" t="str">
        <x:v>unchanged</x:v>
      </x:c>
      <x:c r="K35" s="19" t="str"/>
      <x:c r="L35" s="19" t="str"/>
    </x:row>
    <x:row r="36">
      <x:c r="A36" s="18" t="str">
        <x:v>PROV-001</x:v>
      </x:c>
      <x:c r="B36" s="18" t="str">
        <x:v>PROV-001-C002</x:v>
      </x:c>
      <x:c r="C36" s="18" t="str">
        <x:v>可以向录取学院、学系请假，</x:v>
      </x:c>
      <x:c r="D36" s="18" t="str">
        <x:v>ENTITY</x:v>
      </x:c>
      <x:c r="E36" s="18" t="str">
        <x:v>UNSUPPORTED</x:v>
      </x:c>
      <x:c r="F36" s="18" t="str">
        <x:v>UNSUPPORTED</x:v>
      </x:c>
      <x:c r="G36" s="18" t="str">
        <x:v>UNSUPPORTED</x:v>
      </x:c>
      <x:c r="H36" s="18" t="str">
        <x:v>UNSUPPORTED</x:v>
      </x:c>
      <x:c r="I36" s="18" t="str"/>
      <x:c r="J36" s="18" t="str">
        <x:v>unchanged</x:v>
      </x:c>
      <x:c r="K36" s="19" t="str"/>
      <x:c r="L36" s="19" t="str"/>
    </x:row>
    <x:row r="37">
      <x:c r="A37" s="18" t="str">
        <x:v>PROV-001</x:v>
      </x:c>
      <x:c r="B37" s="18" t="str">
        <x:v>PROV-001-C003</x:v>
      </x:c>
      <x:c r="C37" s="18" t="str">
        <x:v>并申请保留入学资格。</x:v>
      </x:c>
      <x:c r="D37" s="18" t="str">
        <x:v>PROCEDURAL</x:v>
      </x:c>
      <x:c r="E37" s="18" t="str">
        <x:v>UNSUPPORTED</x:v>
      </x:c>
      <x:c r="F37" s="18" t="str">
        <x:v>PARTIALLY_SUPPORTED</x:v>
      </x:c>
      <x:c r="G37" s="18" t="str">
        <x:v>PARTIALLY_SUPPORTED</x:v>
      </x:c>
      <x:c r="H37" s="18" t="str">
        <x:v>PARTIALLY_SUPPORTED</x:v>
      </x:c>
      <x:c r="I37" s="18" t="str">
        <x:v>PROV-001-PROV0-STGPUB-0047-0000-S0024</x:v>
      </x:c>
      <x:c r="J37" s="18" t="str">
        <x:v>improved</x:v>
      </x:c>
      <x:c r="K37" s="19" t="str"/>
      <x:c r="L37" s="19" t="str"/>
    </x:row>
    <x:row r="38">
      <x:c r="A38" s="18" t="str">
        <x:v>PROV-002</x:v>
      </x:c>
      <x:c r="B38" s="18" t="str">
        <x:v>PROV-002-C001</x:v>
      </x:c>
      <x:c r="C38" s="18" t="str">
        <x:v>在校本科生或研究生办理在学证明，</x:v>
      </x:c>
      <x:c r="D38" s="18" t="str">
        <x:v>PROCEDURAL</x:v>
      </x:c>
      <x:c r="E38" s="18" t="str">
        <x:v>UNSUPPORTED</x:v>
      </x:c>
      <x:c r="F38" s="18" t="str">
        <x:v>PARTIALLY_SUPPORTED</x:v>
      </x:c>
      <x:c r="G38" s="18" t="str">
        <x:v>PARTIALLY_SUPPORTED</x:v>
      </x:c>
      <x:c r="H38" s="18" t="str">
        <x:v>PARTIALLY_SUPPORTED</x:v>
      </x:c>
      <x:c r="I38" s="18" t="str">
        <x:v>PROV-002-PROV0-STGPUB-0009-0000-S0008 | PROV-002-PROV0-STGPUB-0009-0000-S0017</x:v>
      </x:c>
      <x:c r="J38" s="18" t="str">
        <x:v>improved</x:v>
      </x:c>
      <x:c r="K38" s="19" t="str"/>
      <x:c r="L38" s="19" t="str"/>
    </x:row>
    <x:row r="39">
      <x:c r="A39" s="18" t="str">
        <x:v>PROV-002</x:v>
      </x:c>
      <x:c r="B39" s="18" t="str">
        <x:v>PROV-002-C002</x:v>
      </x:c>
      <x:c r="C39" s="18" t="str">
        <x:v>可以到所在院系教学办审批并签字盖章。</x:v>
      </x:c>
      <x:c r="D39" s="18" t="str">
        <x:v>PROCEDURAL</x:v>
      </x:c>
      <x:c r="E39" s="18" t="str">
        <x:v>UNSUPPORTED</x:v>
      </x:c>
      <x:c r="F39" s="18" t="str">
        <x:v>UNSUPPORTED</x:v>
      </x:c>
      <x:c r="G39" s="18" t="str">
        <x:v>UNSUPPORTED</x:v>
      </x:c>
      <x:c r="H39" s="18" t="str">
        <x:v>UNSUPPORTED</x:v>
      </x:c>
      <x:c r="I39" s="18" t="str"/>
      <x:c r="J39" s="18" t="str">
        <x:v>unchanged</x:v>
      </x:c>
      <x:c r="K39" s="19" t="str"/>
      <x:c r="L39" s="19" t="str"/>
    </x:row>
    <x:row r="40">
      <x:c r="A40" s="18" t="str">
        <x:v>PROV-002</x:v>
      </x:c>
      <x:c r="B40" s="18" t="str">
        <x:v>PROV-002-C003</x:v>
      </x:c>
      <x:c r="C40" s="18" t="str">
        <x:v>如需打印，</x:v>
      </x:c>
      <x:c r="D40" s="18" t="str">
        <x:v>FACTUAL</x:v>
      </x:c>
      <x:c r="E40" s="18" t="str">
        <x:v>UNSUPPORTED</x:v>
      </x:c>
      <x:c r="F40" s="18" t="str">
        <x:v>UNSUPPORTED</x:v>
      </x:c>
      <x:c r="G40" s="18" t="str">
        <x:v>UNSUPPORTED</x:v>
      </x:c>
      <x:c r="H40" s="18" t="str">
        <x:v>UNSUPPORTED</x:v>
      </x:c>
      <x:c r="I40" s="18" t="str"/>
      <x:c r="J40" s="18" t="str">
        <x:v>unchanged</x:v>
      </x:c>
      <x:c r="K40" s="19" t="str"/>
      <x:c r="L40" s="19" t="str"/>
    </x:row>
    <x:row r="41">
      <x:c r="A41" s="18" t="str">
        <x:v>PROV-002</x:v>
      </x:c>
      <x:c r="B41" s="18" t="str">
        <x:v>PROV-002-C004</x:v>
      </x:c>
      <x:c r="C41" s="18" t="str">
        <x:v>可到自助服务终端（六教A区零层入口处、紫荆C楼102）直接办理，或到注册中心（紫荆C楼201）手工办理。</x:v>
      </x:c>
      <x:c r="D41" s="18" t="str">
        <x:v>NUMERIC</x:v>
      </x:c>
      <x:c r="E41" s="18" t="str">
        <x:v>UNSUPPORTED</x:v>
      </x:c>
      <x:c r="F41" s="18" t="str">
        <x:v>SUPPORTED</x:v>
      </x:c>
      <x:c r="G41" s="18" t="str">
        <x:v>SUPPORTED</x:v>
      </x:c>
      <x:c r="H41" s="18" t="str">
        <x:v>SUPPORTED</x:v>
      </x:c>
      <x:c r="I41" s="18" t="str">
        <x:v>PROV-002-PROV0-STGPUB-0009-0000-S0011</x:v>
      </x:c>
      <x:c r="J41" s="18" t="str">
        <x:v>improved</x:v>
      </x:c>
      <x:c r="K41" s="19" t="str"/>
      <x:c r="L41" s="19" t="str"/>
    </x:row>
    <x:row r="42">
      <x:c r="A42" s="18" t="str">
        <x:v>PROV-003</x:v>
      </x:c>
      <x:c r="B42" s="18" t="str">
        <x:v>PROV-003-C001</x:v>
      </x:c>
      <x:c r="C42" s="18" t="str">
        <x:v>学生不服学校处理或纪律处分时，校内申诉由学生申诉处理委员会办理。</x:v>
      </x:c>
      <x:c r="D42" s="18" t="str">
        <x:v>PROCEDURAL</x:v>
      </x:c>
      <x:c r="E42" s="18" t="str">
        <x:v>UNSUPPORTED</x:v>
      </x:c>
      <x:c r="F42" s="18" t="str">
        <x:v>UNSUPPORTED</x:v>
      </x:c>
      <x:c r="G42" s="18" t="str">
        <x:v>UNSUPPORTED</x:v>
      </x:c>
      <x:c r="H42" s="18" t="str">
        <x:v>UNSUPPORTED</x:v>
      </x:c>
      <x:c r="I42" s="18" t="str"/>
      <x:c r="J42" s="18" t="str">
        <x:v>unchanged</x:v>
      </x:c>
      <x:c r="K42" s="19" t="str"/>
      <x:c r="L42" s="19" t="str"/>
    </x:row>
    <x:row r="43">
      <x:c r="A43" s="18" t="str">
        <x:v>PROV-004</x:v>
      </x:c>
      <x:c r="B43" s="18" t="str">
        <x:v>PROV-004-C001</x:v>
      </x:c>
      <x:c r="C43" s="18" t="str">
        <x:v>清华学生社团的建设、成立和日常管理依据《清华大学学生社团建设管理办法》。</x:v>
      </x:c>
      <x:c r="D43" s="18" t="str">
        <x:v>ENTITY</x:v>
      </x:c>
      <x:c r="E43" s="18" t="str">
        <x:v>SUPPORTED</x:v>
      </x:c>
      <x:c r="F43" s="18" t="str">
        <x:v>UNSUPPORTED</x:v>
      </x:c>
      <x:c r="G43" s="18" t="str">
        <x:v>UNSUPPORTED</x:v>
      </x:c>
      <x:c r="H43" s="18" t="str">
        <x:v>UNSUPPORTED</x:v>
      </x:c>
      <x:c r="I43" s="18" t="str"/>
      <x:c r="J43" s="18" t="str">
        <x:v>changed</x:v>
      </x:c>
      <x:c r="K43" s="19" t="str"/>
      <x:c r="L43" s="19" t="str"/>
    </x:row>
    <x:row r="44">
      <x:c r="A44" s="18" t="str">
        <x:v>PROV-005</x:v>
      </x:c>
      <x:c r="B44" s="18" t="str">
        <x:v>PROV-005-C001</x:v>
      </x:c>
      <x:c r="C44" s="18" t="str">
        <x:v>应查看《清华大学学生宿舍申请表》并提交给院系主管学生工作负责人签字、盖章。</x:v>
      </x:c>
      <x:c r="D44" s="18" t="str">
        <x:v>UNCERTAIN</x:v>
      </x:c>
      <x:c r="E44" s="18" t="str">
        <x:v>UNSUPPORTED</x:v>
      </x:c>
      <x:c r="F44" s="18" t="str">
        <x:v>SUPPORTED</x:v>
      </x:c>
      <x:c r="G44" s="18" t="str">
        <x:v>SUPPORTED</x:v>
      </x:c>
      <x:c r="H44" s="18" t="str">
        <x:v>SUPPORTED</x:v>
      </x:c>
      <x:c r="I44" s="18" t="str">
        <x:v>PROV-005-PROV0-STGPUB-0072-0000-S0014</x:v>
      </x:c>
      <x:c r="J44" s="18" t="str">
        <x:v>improved</x:v>
      </x:c>
      <x:c r="K44" s="19" t="str"/>
      <x:c r="L44" s="19" t="str"/>
    </x:row>
    <x:row r="45">
      <x:c r="A45" s="18" t="str">
        <x:v>PROV-006</x:v>
      </x:c>
      <x:c r="B45" s="18" t="str">
        <x:v>PROV-006-C001</x:v>
      </x:c>
      <x:c r="C45" s="18" t="str">
        <x:v>请查看清华档案馆官网或学生职业发展指导中心网站，</x:v>
      </x:c>
      <x:c r="D45" s="18" t="str">
        <x:v>LOCATION</x:v>
      </x:c>
      <x:c r="E45" s="18" t="str">
        <x:v>UNSUPPORTED</x:v>
      </x:c>
      <x:c r="F45" s="18" t="str">
        <x:v>UNSUPPORTED</x:v>
      </x:c>
      <x:c r="G45" s="18" t="str">
        <x:v>UNSUPPORTED</x:v>
      </x:c>
      <x:c r="H45" s="18" t="str">
        <x:v>UNSUPPORTED</x:v>
      </x:c>
      <x:c r="I45" s="18" t="str"/>
      <x:c r="J45" s="18" t="str">
        <x:v>unchanged</x:v>
      </x:c>
      <x:c r="K45" s="19" t="str"/>
      <x:c r="L45" s="19" t="str"/>
    </x:row>
    <x:row r="46">
      <x:c r="A46" s="18" t="str">
        <x:v>PROV-006</x:v>
      </x:c>
      <x:c r="B46" s="18" t="str">
        <x:v>PROV-006-C002</x:v>
      </x:c>
      <x:c r="C46" s="18" t="str">
        <x:v>查询邮寄地址和邮编。</x:v>
      </x:c>
      <x:c r="D46" s="18" t="str">
        <x:v>LOCATION</x:v>
      </x:c>
      <x:c r="E46" s="18" t="str">
        <x:v>UNSUPPORTED</x:v>
      </x:c>
      <x:c r="F46" s="18" t="str">
        <x:v>UNSUPPORTED</x:v>
      </x:c>
      <x:c r="G46" s="18" t="str">
        <x:v>UNSUPPORTED</x:v>
      </x:c>
      <x:c r="H46" s="18" t="str">
        <x:v>UNSUPPORTED</x:v>
      </x:c>
      <x:c r="I46" s="18" t="str"/>
      <x:c r="J46" s="18" t="str">
        <x:v>unchanged</x:v>
      </x:c>
      <x:c r="K46" s="19" t="str"/>
      <x:c r="L46" s="19" t="str"/>
    </x:row>
    <x:row r="47">
      <x:c r="A47" s="18" t="str">
        <x:v>PROV-007</x:v>
      </x:c>
      <x:c r="B47" s="18" t="str">
        <x:v>PROV-007-C001</x:v>
      </x:c>
      <x:c r="C47" s="18" t="str">
        <x:v>饮食服务中心</x:v>
      </x:c>
      <x:c r="D47" s="18" t="str">
        <x:v>ENTITY</x:v>
      </x:c>
      <x:c r="E47" s="18" t="str">
        <x:v>UNSUPPORTED</x:v>
      </x:c>
      <x:c r="F47" s="18" t="str">
        <x:v>UNSUPPORTED</x:v>
      </x:c>
      <x:c r="G47" s="18" t="str">
        <x:v>UNSUPPORTED</x:v>
      </x:c>
      <x:c r="H47" s="18" t="str">
        <x:v>UNSUPPORTED</x:v>
      </x:c>
      <x:c r="I47" s="18" t="str"/>
      <x:c r="J47" s="18" t="str">
        <x:v>unchanged</x:v>
      </x:c>
      <x:c r="K47" s="19" t="str"/>
      <x:c r="L47" s="19" t="str"/>
    </x:row>
    <x:row r="48">
      <x:c r="A48" s="18" t="str">
        <x:v>PROV-008</x:v>
      </x:c>
      <x:c r="B48" s="18" t="str">
        <x:v>PROV-008-C001</x:v>
      </x:c>
      <x:c r="C48" s="18" t="str">
        <x:v>教工餐厅信息应查看教工餐厅资料。</x:v>
      </x:c>
      <x:c r="D48" s="18" t="str">
        <x:v>UNCERTAIN</x:v>
      </x:c>
      <x:c r="E48" s="18" t="str">
        <x:v>UNSUPPORTED</x:v>
      </x:c>
      <x:c r="F48" s="18" t="str">
        <x:v>UNSUPPORTED</x:v>
      </x:c>
      <x:c r="G48" s="18" t="str">
        <x:v>UNSUPPORTED</x:v>
      </x:c>
      <x:c r="H48" s="18" t="str">
        <x:v>UNSUPPORTED</x:v>
      </x:c>
      <x:c r="I48" s="18" t="str"/>
      <x:c r="J48" s="18" t="str">
        <x:v>unchanged</x:v>
      </x:c>
      <x:c r="K48" s="19" t="str"/>
      <x:c r="L48" s="19" t="str"/>
    </x:row>
    <x:row r="49">
      <x:c r="A49" s="18" t="str">
        <x:v>PROV-009</x:v>
      </x:c>
      <x:c r="B49" s="18" t="str">
        <x:v>PROV-009-C001</x:v>
      </x:c>
      <x:c r="C49" s="18" t="str">
        <x:v>请查看清华接待服务中心的官方公众号或小程序，其中详细列出了校车线路、班次和校园出入口交通指引。</x:v>
      </x:c>
      <x:c r="D49" s="18" t="str">
        <x:v>LOCATION</x:v>
      </x:c>
      <x:c r="E49" s="18" t="str">
        <x:v>UNSUPPORTED</x:v>
      </x:c>
      <x:c r="F49" s="18" t="str">
        <x:v>UNSUPPORTED</x:v>
      </x:c>
      <x:c r="G49" s="18" t="str">
        <x:v>UNSUPPORTED</x:v>
      </x:c>
      <x:c r="H49" s="18" t="str">
        <x:v>UNSUPPORTED</x:v>
      </x:c>
      <x:c r="I49" s="18" t="str"/>
      <x:c r="J49" s="18" t="str">
        <x:v>unchanged</x:v>
      </x:c>
      <x:c r="K49" s="19" t="str"/>
      <x:c r="L49" s="19" t="str"/>
    </x:row>
    <x:row r="50">
      <x:c r="A50" s="18" t="str">
        <x:v>PROV-010</x:v>
      </x:c>
      <x:c r="B50" s="18" t="str">
        <x:v>PROV-010-C001</x:v>
      </x:c>
      <x:c r="C50" s="18" t="str">
        <x:v>在清华办理生育医疗费用报销需要查看以下程序：</x:v>
      </x:c>
      <x:c r="D50" s="18" t="str">
        <x:v>PROCEDURAL</x:v>
      </x:c>
      <x:c r="E50" s="18" t="str">
        <x:v>UNSUPPORTED</x:v>
      </x:c>
      <x:c r="F50" s="18" t="str">
        <x:v>UNSUPPORTED</x:v>
      </x:c>
      <x:c r="G50" s="18" t="str">
        <x:v>UNSUPPORTED</x:v>
      </x:c>
      <x:c r="H50" s="18" t="str">
        <x:v>UNSUPPORTED</x:v>
      </x:c>
      <x:c r="I50" s="18" t="str"/>
      <x:c r="J50" s="18" t="str">
        <x:v>unchanged</x:v>
      </x:c>
      <x:c r="K50" s="19" t="str"/>
      <x:c r="L50" s="19" t="str"/>
    </x:row>
    <x:row r="51">
      <x:c r="A51" s="18" t="str">
        <x:v>PROV-010</x:v>
      </x:c>
      <x:c r="B51" s="18" t="str">
        <x:v>PROV-010-C002</x:v>
      </x:c>
      <x:c r="C51" s="18" t="str">
        <x:v>生育医疗报销程序 - 清华大学信息门户</x:v>
      </x:c>
      <x:c r="D51" s="18" t="str">
        <x:v>PROCEDURAL</x:v>
      </x:c>
      <x:c r="E51" s="18" t="str">
        <x:v>PARTIALLY_SUPPORTED</x:v>
      </x:c>
      <x:c r="F51" s="18" t="str">
        <x:v>SUPPORTED</x:v>
      </x:c>
      <x:c r="G51" s="18" t="str">
        <x:v>SUPPORTED</x:v>
      </x:c>
      <x:c r="H51" s="18" t="str">
        <x:v>SUPPORTED</x:v>
      </x:c>
      <x:c r="I51" s="18" t="str">
        <x:v>PROV-010-PROV0-RESV1-0015-0000-S0004</x:v>
      </x:c>
      <x:c r="J51" s="18" t="str">
        <x:v>changed</x:v>
      </x:c>
      <x:c r="K51" s="19" t="str"/>
      <x:c r="L51" s="19" t="str"/>
    </x:row>
    <x:row r="52">
      <x:c r="A52" s="18" t="str">
        <x:v>PROV-010</x:v>
      </x:c>
      <x:c r="B52" s="18" t="str">
        <x:v>PROV-010-C003</x:v>
      </x:c>
      <x:c r="C52" s="18" t="str">
        <x:v>医保定点医院选择</x:v>
      </x:c>
      <x:c r="D52" s="18" t="str">
        <x:v>PROCEDURAL</x:v>
      </x:c>
      <x:c r="E52" s="18" t="str">
        <x:v>UNSUPPORTED</x:v>
      </x:c>
      <x:c r="F52" s="18" t="str">
        <x:v>UNSUPPORTED</x:v>
      </x:c>
      <x:c r="G52" s="18" t="str">
        <x:v>UNSUPPORTED</x:v>
      </x:c>
      <x:c r="H52" s="18" t="str">
        <x:v>UNSUPPORTED</x:v>
      </x:c>
      <x:c r="I52" s="18" t="str"/>
      <x:c r="J52" s="18" t="str">
        <x:v>unchanged</x:v>
      </x:c>
      <x:c r="K52" s="19" t="str"/>
      <x:c r="L52" s="19" t="str"/>
    </x:row>
    <x:row r="53">
      <x:c r="A53" s="18" t="str">
        <x:v>PROV-010</x:v>
      </x:c>
      <x:c r="B53" s="18" t="str">
        <x:v>PROV-010-C004</x:v>
      </x:c>
      <x:c r="C53" s="18" t="str">
        <x:v>出示“社会保障卡”</x:v>
      </x:c>
      <x:c r="D53" s="18" t="str">
        <x:v>PROCEDURAL</x:v>
      </x:c>
      <x:c r="E53" s="18" t="str">
        <x:v>UNSUPPORTED</x:v>
      </x:c>
      <x:c r="F53" s="18" t="str">
        <x:v>UNSUPPORTED</x:v>
      </x:c>
      <x:c r="G53" s="18" t="str">
        <x:v>UNSUPPORTED</x:v>
      </x:c>
      <x:c r="H53" s="18" t="str">
        <x:v>UNSUPPORTED</x:v>
      </x:c>
      <x:c r="I53" s="18" t="str"/>
      <x:c r="J53" s="18" t="str">
        <x:v>unchanged</x:v>
      </x:c>
      <x:c r="K53" s="19" t="str"/>
      <x:c r="L53" s="19" t="str"/>
    </x:row>
    <x:row r="54">
      <x:c r="A54" s="18" t="str">
        <x:v>PROV-010</x:v>
      </x:c>
      <x:c r="B54" s="18" t="str">
        <x:v>PROV-010-C005</x:v>
      </x:c>
      <x:c r="C54" s="18" t="str">
        <x:v>提交相关材料</x:v>
      </x:c>
      <x:c r="D54" s="18" t="str">
        <x:v>PROCEDURAL</x:v>
      </x:c>
      <x:c r="E54" s="18" t="str">
        <x:v>UNSUPPORTED</x:v>
      </x:c>
      <x:c r="F54" s="18" t="str">
        <x:v>UNSUPPORTED</x:v>
      </x:c>
      <x:c r="G54" s="18" t="str">
        <x:v>UNSUPPORTED</x:v>
      </x:c>
      <x:c r="H54" s="18" t="str">
        <x:v>UNSUPPORTED</x:v>
      </x:c>
      <x:c r="I54" s="18" t="str"/>
      <x:c r="J54" s="18" t="str">
        <x:v>unchanged</x:v>
      </x:c>
      <x:c r="K54" s="19" t="str"/>
      <x:c r="L54" s="19" t="str"/>
    </x:row>
    <x:row r="55">
      <x:c r="A55" s="18" t="str">
        <x:v>PROV-010</x:v>
      </x:c>
      <x:c r="B55" s="18" t="str">
        <x:v>PROV-010-C006</x:v>
      </x:c>
      <x:c r="C55" s="18" t="str">
        <x:v>填写《北京市生育保险医疗费用手工报销申报表》</x:v>
      </x:c>
      <x:c r="D55" s="18" t="str">
        <x:v>PROCEDURAL</x:v>
      </x:c>
      <x:c r="E55" s="18" t="str">
        <x:v>UNSUPPORTED</x:v>
      </x:c>
      <x:c r="F55" s="18" t="str">
        <x:v>SUPPORTED</x:v>
      </x:c>
      <x:c r="G55" s="18" t="str">
        <x:v>SUPPORTED</x:v>
      </x:c>
      <x:c r="H55" s="18" t="str">
        <x:v>SUPPORTED</x:v>
      </x:c>
      <x:c r="I55" s="18" t="str">
        <x:v>PROV-010-PROV0-RESV1-0015-0001-S0026</x:v>
      </x:c>
      <x:c r="J55" s="18" t="str">
        <x:v>improved</x:v>
      </x:c>
      <x:c r="K55" s="19" t="str"/>
      <x:c r="L55" s="19" t="str"/>
    </x:row>
    <x:row r="56">
      <x:c r="A56" s="18" t="str">
        <x:v>PROV-011</x:v>
      </x:c>
      <x:c r="B56" s="18" t="str">
        <x:v>PROV-011-C001</x:v>
      </x:c>
      <x:c r="C56" s="18" t="str">
        <x:v>可以，清华大学医院自2024年7月1日起与北京市114预约挂号平台实现直连。</x:v>
      </x:c>
      <x:c r="D56" s="18" t="str">
        <x:v>TEMPORAL</x:v>
      </x:c>
      <x:c r="E56" s="18" t="str">
        <x:v>SUPPORTED</x:v>
      </x:c>
      <x:c r="F56" s="18" t="str">
        <x:v>UNSUPPORTED</x:v>
      </x:c>
      <x:c r="G56" s="18" t="str">
        <x:v>UNSUPPORTED</x:v>
      </x:c>
      <x:c r="H56" s="18" t="str">
        <x:v>UNSUPPORTED</x:v>
      </x:c>
      <x:c r="I56" s="18" t="str"/>
      <x:c r="J56" s="18" t="str">
        <x:v>changed</x:v>
      </x:c>
      <x:c r="K56" s="19" t="str"/>
      <x:c r="L56" s="19" t="str"/>
    </x:row>
    <x:row r="57">
      <x:c r="A57" s="18" t="str">
        <x:v>PROV-012</x:v>
      </x:c>
      <x:c r="B57" s="18" t="str">
        <x:v>PROV-012-C001</x:v>
      </x:c>
      <x:c r="C57" s="18" t="str">
        <x:v>校园网络运行和基础网络服务的信息由资料[C1]说明。</x:v>
      </x:c>
      <x:c r="D57" s="18" t="str">
        <x:v>LOCATION</x:v>
      </x:c>
      <x:c r="E57" s="18" t="str">
        <x:v>PARTIALLY_SUPPORTED</x:v>
      </x:c>
      <x:c r="F57" s="18" t="str">
        <x:v>PARTIALLY_SUPPORTED</x:v>
      </x:c>
      <x:c r="G57" s="18" t="str">
        <x:v>PARTIALLY_SUPPORTED</x:v>
      </x:c>
      <x:c r="H57" s="18" t="str">
        <x:v>PARTIALLY_SUPPORTED</x:v>
      </x:c>
      <x:c r="I57" s="18" t="str">
        <x:v>PROV-012-PROV0-STGPUB-0104-0000-S0001</x:v>
      </x:c>
      <x:c r="J57" s="18" t="str">
        <x:v>unchanged</x:v>
      </x:c>
      <x:c r="K57" s="19" t="str"/>
      <x:c r="L57" s="19" t="str"/>
    </x:row>
    <x:row r="58">
      <x:c r="A58" s="18" t="str">
        <x:v>PROV-013</x:v>
      </x:c>
      <x:c r="B58" s="18" t="str">
        <x:v>PROV-013-C001</x:v>
      </x:c>
      <x:c r="C58" s="18" t="str">
        <x:v>遇到学校信息化账号或网络使用问题时，</x:v>
      </x:c>
      <x:c r="D58" s="18" t="str">
        <x:v>FACTUAL</x:v>
      </x:c>
      <x:c r="E58" s="18" t="str">
        <x:v>UNSUPPORTED</x:v>
      </x:c>
      <x:c r="F58" s="18" t="str">
        <x:v>UNSUPPORTED</x:v>
      </x:c>
      <x:c r="G58" s="18" t="str">
        <x:v>UNSUPPORTED</x:v>
      </x:c>
      <x:c r="H58" s="18" t="str">
        <x:v>UNSUPPORTED</x:v>
      </x:c>
      <x:c r="I58" s="18" t="str"/>
      <x:c r="J58" s="18" t="str">
        <x:v>unchanged</x:v>
      </x:c>
      <x:c r="K58" s="19" t="str"/>
      <x:c r="L58" s="19" t="str"/>
    </x:row>
    <x:row r="59">
      <x:c r="A59" s="18" t="str">
        <x:v>PROV-013</x:v>
      </x:c>
      <x:c r="B59" s="18" t="str">
        <x:v>PROV-013-C002</x:v>
      </x:c>
      <x:c r="C59" s="18" t="str">
        <x:v>应到用户服务大厅寻求帮助。</x:v>
      </x:c>
      <x:c r="D59" s="18" t="str">
        <x:v>FACTUAL</x:v>
      </x:c>
      <x:c r="E59" s="18" t="str">
        <x:v>UNSUPPORTED</x:v>
      </x:c>
      <x:c r="F59" s="18" t="str">
        <x:v>UNSUPPORTED</x:v>
      </x:c>
      <x:c r="G59" s="18" t="str">
        <x:v>UNSUPPORTED</x:v>
      </x:c>
      <x:c r="H59" s="18" t="str">
        <x:v>UNSUPPORTED</x:v>
      </x:c>
      <x:c r="I59" s="18" t="str"/>
      <x:c r="J59" s="18" t="str">
        <x:v>unchanged</x:v>
      </x:c>
      <x:c r="K59" s="19" t="str"/>
      <x:c r="L59" s="19" t="str"/>
    </x:row>
    <x:row r="60">
      <x:c r="A60" s="18" t="str">
        <x:v>PROV-014</x:v>
      </x:c>
      <x:c r="B60" s="18" t="str">
        <x:v>PROV-014-C001</x:v>
      </x:c>
      <x:c r="C60" s="18" t="str">
        <x:v>图书借还规则和操作说明在清华图书馆主页上。</x:v>
      </x:c>
      <x:c r="D60" s="18" t="str">
        <x:v>LOCATION</x:v>
      </x:c>
      <x:c r="E60" s="18" t="str">
        <x:v>UNSUPPORTED</x:v>
      </x:c>
      <x:c r="F60" s="18" t="str">
        <x:v>UNSUPPORTED</x:v>
      </x:c>
      <x:c r="G60" s="18" t="str">
        <x:v>UNSUPPORTED</x:v>
      </x:c>
      <x:c r="H60" s="18" t="str">
        <x:v>UNSUPPORTED</x:v>
      </x:c>
      <x:c r="I60" s="18" t="str"/>
      <x:c r="J60" s="18" t="str">
        <x:v>unchanged</x:v>
      </x:c>
      <x:c r="K60" s="19" t="str"/>
      <x:c r="L60" s="19" t="str"/>
    </x:row>
    <x:row r="61">
      <x:c r="A61" s="18" t="str">
        <x:v>PROV-015</x:v>
      </x:c>
      <x:c r="B61" s="18" t="str">
        <x:v>PROV-015-C001</x:v>
      </x:c>
      <x:c r="C61" s="18" t="str">
        <x:v>进入清华大学图书馆需要遵守以下入馆管理办法：</x:v>
      </x:c>
      <x:c r="D61" s="18" t="str">
        <x:v>LOCATION</x:v>
      </x:c>
      <x:c r="E61" s="18" t="str">
        <x:v>UNSUPPORTED</x:v>
      </x:c>
      <x:c r="F61" s="18" t="str">
        <x:v>UNSUPPORTED</x:v>
      </x:c>
      <x:c r="G61" s="18" t="str">
        <x:v>UNSUPPORTED</x:v>
      </x:c>
      <x:c r="H61" s="18" t="str">
        <x:v>UNSUPPORTED</x:v>
      </x:c>
      <x:c r="I61" s="18" t="str"/>
      <x:c r="J61" s="18" t="str">
        <x:v>unchanged</x:v>
      </x:c>
      <x:c r="K61" s="19" t="str"/>
      <x:c r="L61" s="19" t="str"/>
    </x:row>
    <x:row r="62">
      <x:c r="A62" s="18" t="str">
        <x:v>PROV-015</x:v>
      </x:c>
      <x:c r="B62" s="18" t="str">
        <x:v>PROV-015-C002</x:v>
      </x:c>
      <x:c r="C62" s="18" t="str">
        <x:v>校内读者凭本人有效图书证入馆。</x:v>
      </x:c>
      <x:c r="D62" s="18" t="str">
        <x:v>LOCATION</x:v>
      </x:c>
      <x:c r="E62" s="18" t="str">
        <x:v>UNSUPPORTED</x:v>
      </x:c>
      <x:c r="F62" s="18" t="str">
        <x:v>SUPPORTED</x:v>
      </x:c>
      <x:c r="G62" s="18" t="str">
        <x:v>SUPPORTED</x:v>
      </x:c>
      <x:c r="H62" s="18" t="str">
        <x:v>SUPPORTED</x:v>
      </x:c>
      <x:c r="I62" s="18" t="str">
        <x:v>PROV-015-PROV0-STGPUB-0122-0000-S0008</x:v>
      </x:c>
      <x:c r="J62" s="18" t="str">
        <x:v>improved</x:v>
      </x:c>
      <x:c r="K62" s="19" t="str"/>
      <x:c r="L62" s="19" t="str"/>
    </x:row>
    <x:row r="63">
      <x:c r="A63" s="18" t="str">
        <x:v>PROV-015</x:v>
      </x:c>
      <x:c r="B63" s="18" t="str">
        <x:v>PROV-015-C003</x:v>
      </x:c>
      <x:c r="C63" s="18" t="str">
        <x:v>校外读者按规定办理手续后入馆。</x:v>
      </x:c>
      <x:c r="D63" s="18" t="str">
        <x:v>LOCATION</x:v>
      </x:c>
      <x:c r="E63" s="18" t="str">
        <x:v>UNSUPPORTED</x:v>
      </x:c>
      <x:c r="F63" s="18" t="str">
        <x:v>SUPPORTED</x:v>
      </x:c>
      <x:c r="G63" s="18" t="str">
        <x:v>SUPPORTED</x:v>
      </x:c>
      <x:c r="H63" s="18" t="str">
        <x:v>SUPPORTED</x:v>
      </x:c>
      <x:c r="I63" s="18" t="str">
        <x:v>PROV-015-PROV0-STGPUB-0147-0000-S0007</x:v>
      </x:c>
      <x:c r="J63" s="18" t="str">
        <x:v>improved</x:v>
      </x:c>
      <x:c r="K63" s="19" t="str"/>
      <x:c r="L63" s="19" t="str"/>
    </x:row>
    <x:row r="64">
      <x:c r="A64" s="18" t="str">
        <x:v>PROV-015</x:v>
      </x:c>
      <x:c r="B64" s="18" t="str">
        <x:v>PROV-015-C004</x:v>
      </x:c>
      <x:c r="C64" s="18" t="str">
        <x:v>清华校友凭校友卡或毕业证（或复印件），附上有效身份证件，</x:v>
      </x:c>
      <x:c r="D64" s="18" t="str">
        <x:v>FACTUAL</x:v>
      </x:c>
      <x:c r="E64" s="18" t="str">
        <x:v>UNSUPPORTED</x:v>
      </x:c>
      <x:c r="F64" s="18" t="str">
        <x:v>SUPPORTED</x:v>
      </x:c>
      <x:c r="G64" s="18" t="str">
        <x:v>SUPPORTED</x:v>
      </x:c>
      <x:c r="H64" s="18" t="str">
        <x:v>SUPPORTED</x:v>
      </x:c>
      <x:c r="I64" s="18" t="str">
        <x:v>PROV-015-PROV0-STGPUB-0122-0000-S0012</x:v>
      </x:c>
      <x:c r="J64" s="18" t="str">
        <x:v>improved</x:v>
      </x:c>
      <x:c r="K64" s="19" t="str"/>
      <x:c r="L64" s="19" t="str"/>
    </x:row>
    <x:row r="65">
      <x:c r="A65" s="18" t="str">
        <x:v>PROV-015</x:v>
      </x:c>
      <x:c r="B65" s="18" t="str">
        <x:v>PROV-015-C005</x:v>
      </x:c>
      <x:c r="C65" s="18" t="str">
        <x:v>可进入校图书馆。</x:v>
      </x:c>
      <x:c r="D65" s="18" t="str">
        <x:v>LOCATION</x:v>
      </x:c>
      <x:c r="E65" s="18" t="str">
        <x:v>UNSUPPORTED</x:v>
      </x:c>
      <x:c r="F65" s="18" t="str">
        <x:v>UNSUPPORTED</x:v>
      </x:c>
      <x:c r="G65" s="18" t="str">
        <x:v>UNSUPPORTED</x:v>
      </x:c>
      <x:c r="H65" s="18" t="str">
        <x:v>UNSUPPORTED</x:v>
      </x:c>
      <x:c r="I65" s="18" t="str"/>
      <x:c r="J65" s="18" t="str">
        <x:v>unchanged</x:v>
      </x:c>
      <x:c r="K65" s="19" t="str"/>
      <x:c r="L65" s="19" t="str"/>
    </x:row>
    <x:row r="66">
      <x:c r="A66" s="18" t="str">
        <x:v>PROV-015</x:v>
      </x:c>
      <x:c r="B66" s="18" t="str">
        <x:v>PROV-015-C006</x:v>
      </x:c>
      <x:c r="C66" s="18" t="str">
        <x:v>注意防火安全，严禁在馆内吸烟。</x:v>
      </x:c>
      <x:c r="D66" s="18" t="str">
        <x:v>LOCATION</x:v>
      </x:c>
      <x:c r="E66" s="18" t="str">
        <x:v>UNSUPPORTED</x:v>
      </x:c>
      <x:c r="F66" s="18" t="str">
        <x:v>PARTIALLY_SUPPORTED</x:v>
      </x:c>
      <x:c r="G66" s="18" t="str">
        <x:v>PARTIALLY_SUPPORTED</x:v>
      </x:c>
      <x:c r="H66" s="18" t="str">
        <x:v>PARTIALLY_SUPPORTED</x:v>
      </x:c>
      <x:c r="I66" s="18" t="str">
        <x:v>PROV-015-PROV0-STGPUB-0147-0000-S0014</x:v>
      </x:c>
      <x:c r="J66" s="18" t="str">
        <x:v>improved</x:v>
      </x:c>
      <x:c r="K66" s="19" t="str"/>
      <x:c r="L66" s="19" t="str"/>
    </x:row>
    <x:row r="67">
      <x:c r="A67" s="18" t="str">
        <x:v>PROV-015</x:v>
      </x:c>
      <x:c r="B67" s="18" t="str">
        <x:v>PROV-015-C007</x:v>
      </x:c>
      <x:c r="C67" s="18" t="str">
        <x:v>饮料需置于防溢出容器内，不可携带气味食物、外卖盒餐等入馆。</x:v>
      </x:c>
      <x:c r="D67" s="18" t="str">
        <x:v>LOCATION</x:v>
      </x:c>
      <x:c r="E67" s="18" t="str">
        <x:v>UNSUPPORTED</x:v>
      </x:c>
      <x:c r="F67" s="18" t="str">
        <x:v>PARTIALLY_SUPPORTED</x:v>
      </x:c>
      <x:c r="G67" s="18" t="str">
        <x:v>SUPPORTED</x:v>
      </x:c>
      <x:c r="H67" s="18" t="str">
        <x:v>SUPPORTED</x:v>
      </x:c>
      <x:c r="I67" s="18" t="str">
        <x:v>PROV-015-PROV0-STGPUB-0122-0000-S0020</x:v>
      </x:c>
      <x:c r="J67" s="18" t="str">
        <x:v>improved</x:v>
      </x:c>
      <x:c r="K67" s="19" t="str"/>
      <x:c r="L67" s="19" t="str"/>
    </x:row>
    <x:row r="68">
      <x:c r="A68" s="18" t="str">
        <x:v>PROV-015</x:v>
      </x:c>
      <x:c r="B68" s="18" t="str">
        <x:v>PROV-015-C008</x:v>
      </x:c>
      <x:c r="C68" s="18" t="str">
        <x:v>保持安静，手持电话置于静音状态。</x:v>
      </x:c>
      <x:c r="D68" s="18" t="str">
        <x:v>FACTUAL</x:v>
      </x:c>
      <x:c r="E68" s="18" t="str">
        <x:v>UNSUPPORTED</x:v>
      </x:c>
      <x:c r="F68" s="18" t="str">
        <x:v>UNSUPPORTED</x:v>
      </x:c>
      <x:c r="G68" s="18" t="str">
        <x:v>PARTIALLY_SUPPORTED</x:v>
      </x:c>
      <x:c r="H68" s="18" t="str">
        <x:v>PARTIALLY_SUPPORTED</x:v>
      </x:c>
      <x:c r="I68" s="18" t="str">
        <x:v>PROV-015-PROV0-STGPUB-0122-0000-S0026</x:v>
      </x:c>
      <x:c r="J68" s="18" t="str">
        <x:v>improved</x:v>
      </x:c>
      <x:c r="K68" s="19" t="str"/>
      <x:c r="L68" s="19" t="str"/>
    </x:row>
    <x:row r="69">
      <x:c r="A69" s="18" t="str">
        <x:v>PROV-015</x:v>
      </x:c>
      <x:c r="B69" s="18" t="str">
        <x:v>PROV-015-C009</x:v>
      </x:c>
      <x:c r="C69" s="18" t="str">
        <x:v>衣着整齐，举止文明礼貌。</x:v>
      </x:c>
      <x:c r="D69" s="18" t="str">
        <x:v>FACTUAL</x:v>
      </x:c>
      <x:c r="E69" s="18" t="str">
        <x:v>UNSUPPORTED</x:v>
      </x:c>
      <x:c r="F69" s="18" t="str">
        <x:v>PARTIALLY_SUPPORTED</x:v>
      </x:c>
      <x:c r="G69" s="18" t="str">
        <x:v>PARTIALLY_SUPPORTED</x:v>
      </x:c>
      <x:c r="H69" s="18" t="str">
        <x:v>PARTIALLY_SUPPORTED</x:v>
      </x:c>
      <x:c r="I69" s="18" t="str">
        <x:v>PROV-015-PROV0-STGPUB-0122-0000-S0029</x:v>
      </x:c>
      <x:c r="J69" s="18" t="str">
        <x:v>improved</x:v>
      </x:c>
      <x:c r="K69" s="19" t="str"/>
      <x:c r="L69" s="19" t="str"/>
    </x:row>
    <x:row r="70">
      <x:c r="A70" s="18" t="str">
        <x:v>PROV-016</x:v>
      </x:c>
      <x:c r="B70" s="18" t="str">
        <x:v>PROV-016-C001</x:v>
      </x:c>
      <x:c r="C70" s="18" t="str">
        <x:v>清华师生可通过馆际互借服务获取外馆文献。</x:v>
      </x:c>
      <x:c r="D70" s="18" t="str">
        <x:v>LOCATION</x:v>
      </x:c>
      <x:c r="E70" s="18" t="str">
        <x:v>UNSUPPORTED</x:v>
      </x:c>
      <x:c r="F70" s="18" t="str">
        <x:v>UNSUPPORTED</x:v>
      </x:c>
      <x:c r="G70" s="18" t="str">
        <x:v>UNSUPPORTED</x:v>
      </x:c>
      <x:c r="H70" s="18" t="str">
        <x:v>UNSUPPORTED</x:v>
      </x:c>
      <x:c r="I70" s="18" t="str"/>
      <x:c r="J70" s="18" t="str">
        <x:v>unchanged</x:v>
      </x:c>
      <x:c r="K70" s="19" t="str"/>
      <x:c r="L70" s="19" t="str"/>
    </x:row>
    <x:row r="71">
      <x:c r="A71" s="18" t="str">
        <x:v>PROV-017</x:v>
      </x:c>
      <x:c r="B71" s="18" t="str">
        <x:v>PROV-017-C001</x:v>
      </x:c>
      <x:c r="C71" s="18" t="str">
        <x:v>综合体育馆总建筑面积12547.85平米，总观众席位4502个，</x:v>
      </x:c>
      <x:c r="D71" s="18" t="str">
        <x:v>NUMERIC</x:v>
      </x:c>
      <x:c r="E71" s="18" t="str">
        <x:v>SUPPORTED</x:v>
      </x:c>
      <x:c r="F71" s="18" t="str">
        <x:v>SUPPORTED</x:v>
      </x:c>
      <x:c r="G71" s="18" t="str">
        <x:v>SUPPORTED</x:v>
      </x:c>
      <x:c r="H71" s="18" t="str">
        <x:v>SUPPORTED</x:v>
      </x:c>
      <x:c r="I71" s="18" t="str">
        <x:v>PROV-017-PROV0-STGPUB-0162-0000-S0001</x:v>
      </x:c>
      <x:c r="J71" s="18" t="str">
        <x:v>unchanged</x:v>
      </x:c>
      <x:c r="K71" s="19" t="str"/>
      <x:c r="L71" s="19" t="str"/>
    </x:row>
    <x:row r="72">
      <x:c r="A72" s="18" t="str">
        <x:v>PROV-017</x:v>
      </x:c>
      <x:c r="B72" s="18" t="str">
        <x:v>PROV-017-C002</x:v>
      </x:c>
      <x:c r="C72" s="18" t="str">
        <x:v>可满足国际比赛和现场电视转播的要求。</x:v>
      </x:c>
      <x:c r="D72" s="18" t="str">
        <x:v>FACTUAL</x:v>
      </x:c>
      <x:c r="E72" s="18" t="str">
        <x:v>UNSUPPORTED</x:v>
      </x:c>
      <x:c r="F72" s="18" t="str">
        <x:v>UNSUPPORTED</x:v>
      </x:c>
      <x:c r="G72" s="18" t="str">
        <x:v>UNSUPPORTED</x:v>
      </x:c>
      <x:c r="H72" s="18" t="str">
        <x:v>UNSUPPORTED</x:v>
      </x:c>
      <x:c r="I72" s="18" t="str"/>
      <x:c r="J72" s="18" t="str">
        <x:v>unchanged</x:v>
      </x:c>
      <x:c r="K72" s="19" t="str"/>
      <x:c r="L72" s="19" t="str"/>
    </x:row>
    <x:row r="73">
      <x:c r="A73" s="18" t="str">
        <x:v>PROV-017</x:v>
      </x:c>
      <x:c r="B73" s="18" t="str">
        <x:v>PROV-017-C003</x:v>
      </x:c>
      <x:c r="C73" s="18" t="str">
        <x:v>为2001年第21届世界大学生运动会男子篮球比赛场馆，2008年北京奥运会男子篮球和轮椅篮球训练场馆。</x:v>
      </x:c>
      <x:c r="D73" s="18" t="str">
        <x:v>TEMPORAL</x:v>
      </x:c>
      <x:c r="E73" s="18" t="str">
        <x:v>PARTIALLY_SUPPORTED</x:v>
      </x:c>
      <x:c r="F73" s="18" t="str">
        <x:v>SUPPORTED</x:v>
      </x:c>
      <x:c r="G73" s="18" t="str">
        <x:v>SUPPORTED</x:v>
      </x:c>
      <x:c r="H73" s="18" t="str">
        <x:v>SUPPORTED</x:v>
      </x:c>
      <x:c r="I73" s="18" t="str">
        <x:v>PROV-017-PROV0-STGPUB-0162-0000-S0003</x:v>
      </x:c>
      <x:c r="J73" s="18" t="str">
        <x:v>changed</x:v>
      </x:c>
      <x:c r="K73" s="19" t="str"/>
      <x:c r="L73" s="19" t="str"/>
    </x:row>
    <x:row r="74">
      <x:c r="A74" s="18" t="str">
        <x:v>PROV-018</x:v>
      </x:c>
      <x:c r="B74" s="18" t="str">
        <x:v>PROV-018-C002</x:v>
      </x:c>
      <x:c r="C74" s="18" t="str">
        <x:v>评选机构通过现场答辩形式组织复评，形成推荐名单，提请校务会议审议。</x:v>
      </x:c>
      <x:c r="D74" s="18" t="str">
        <x:v>FACTUAL</x:v>
      </x:c>
      <x:c r="E74" s="18" t="str">
        <x:v>UNSUPPORTED</x:v>
      </x:c>
      <x:c r="F74" s="18" t="str">
        <x:v>SUPPORTED</x:v>
      </x:c>
      <x:c r="G74" s="18" t="str">
        <x:v>SUPPORTED</x:v>
      </x:c>
      <x:c r="H74" s="18" t="str">
        <x:v>SUPPORTED</x:v>
      </x:c>
      <x:c r="I74" s="18" t="str">
        <x:v>PROV-018-PROV0-RESV1-0016-0001-S0001</x:v>
      </x:c>
      <x:c r="J74" s="18" t="str">
        <x:v>improved</x:v>
      </x:c>
      <x:c r="K74" s="19" t="str"/>
      <x:c r="L74" s="19" t="str"/>
    </x:row>
    <x:row r="75">
      <x:c r="A75" s="18" t="str">
        <x:v>PROV-018</x:v>
      </x:c>
      <x:c r="B75" s="18" t="str">
        <x:v>PROV-018-C003</x:v>
      </x:c>
      <x:c r="C75" s="18" t="str">
        <x:v>校务会议讨论决定特等奖学金表彰名单。</x:v>
      </x:c>
      <x:c r="D75" s="18" t="str">
        <x:v>FACTUAL</x:v>
      </x:c>
      <x:c r="E75" s="18" t="str">
        <x:v>UNSUPPORTED</x:v>
      </x:c>
      <x:c r="F75" s="18" t="str">
        <x:v>SUPPORTED</x:v>
      </x:c>
      <x:c r="G75" s="18" t="str">
        <x:v>SUPPORTED</x:v>
      </x:c>
      <x:c r="H75" s="18" t="str">
        <x:v>SUPPORTED</x:v>
      </x:c>
      <x:c r="I75" s="18" t="str">
        <x:v>PROV-018-PROV0-RESV1-0016-0001-S0004</x:v>
      </x:c>
      <x:c r="J75" s="18" t="str">
        <x:v>improved</x:v>
      </x:c>
      <x:c r="K75" s="19" t="str"/>
      <x:c r="L75" s="19" t="str"/>
    </x:row>
    <x:row r="76">
      <x:c r="A76" s="18" t="str">
        <x:v>PROV-018</x:v>
      </x:c>
      <x:c r="B76" s="18" t="str">
        <x:v>PROV-018-C004</x:v>
      </x:c>
      <x:c r="C76" s="18" t="str">
        <x:v>特等奖学金表彰名单在学校信息门户网站予以公示。</x:v>
      </x:c>
      <x:c r="D76" s="18" t="str">
        <x:v>ENTITY</x:v>
      </x:c>
      <x:c r="E76" s="18" t="str">
        <x:v>UNSUPPORTED</x:v>
      </x:c>
      <x:c r="F76" s="18" t="str">
        <x:v>SUPPORTED</x:v>
      </x:c>
      <x:c r="G76" s="18" t="str">
        <x:v>SUPPORTED</x:v>
      </x:c>
      <x:c r="H76" s="18" t="str">
        <x:v>SUPPORTED</x:v>
      </x:c>
      <x:c r="I76" s="18" t="str">
        <x:v>PROV-018-PROV0-RESV1-0016-0000-S0063</x:v>
      </x:c>
      <x:c r="J76" s="18" t="str">
        <x:v>improved</x:v>
      </x:c>
      <x:c r="K76" s="19" t="str"/>
      <x:c r="L76" s="19" t="str"/>
    </x:row>
    <x:row r="77">
      <x:c r="A77" s="18" t="str">
        <x:v>PROV-019</x:v>
      </x:c>
      <x:c r="B77" s="18" t="str">
        <x:v>PROV-019-C002</x:v>
      </x:c>
      <x:c r="C77" s="18" t="str">
        <x:v>做好贷款学生信息建档工作。</x:v>
      </x:c>
      <x:c r="D77" s="18" t="str">
        <x:v>FACTUAL</x:v>
      </x:c>
      <x:c r="E77" s="18" t="str">
        <x:v>UNSUPPORTED</x:v>
      </x:c>
      <x:c r="F77" s="18" t="str">
        <x:v>SUPPORTED</x:v>
      </x:c>
      <x:c r="G77" s="18" t="str">
        <x:v>SUPPORTED</x:v>
      </x:c>
      <x:c r="H77" s="18" t="str">
        <x:v>SUPPORTED</x:v>
      </x:c>
      <x:c r="I77" s="18" t="str">
        <x:v>PROV-019-PROV0-STGPUB-0028-0000-S0013</x:v>
      </x:c>
      <x:c r="J77" s="18" t="str">
        <x:v>improved</x:v>
      </x:c>
      <x:c r="K77" s="19" t="str"/>
      <x:c r="L77" s="19" t="str"/>
    </x:row>
    <x:row r="78">
      <x:c r="A78" s="18" t="str">
        <x:v>PROV-019</x:v>
      </x:c>
      <x:c r="B78" s="18" t="str">
        <x:v>PROV-019-C003</x:v>
      </x:c>
      <x:c r="C78" s="18" t="str">
        <x:v>做好诚信教育工作。</x:v>
      </x:c>
      <x:c r="D78" s="18" t="str">
        <x:v>FACTUAL</x:v>
      </x:c>
      <x:c r="E78" s="18" t="str">
        <x:v>UNSUPPORTED</x:v>
      </x:c>
      <x:c r="F78" s="18" t="str">
        <x:v>UNSUPPORTED</x:v>
      </x:c>
      <x:c r="G78" s="18" t="str">
        <x:v>UNSUPPORTED</x:v>
      </x:c>
      <x:c r="H78" s="18" t="str">
        <x:v>UNSUPPORTED</x:v>
      </x:c>
      <x:c r="I78" s="18" t="str"/>
      <x:c r="J78" s="18" t="str">
        <x:v>unchanged</x:v>
      </x:c>
      <x:c r="K78" s="19" t="str"/>
      <x:c r="L78" s="19" t="str"/>
    </x:row>
    <x:row r="79">
      <x:c r="A79" s="18" t="str">
        <x:v>PROV-019</x:v>
      </x:c>
      <x:c r="B79" s="18" t="str">
        <x:v>PROV-019-C005</x:v>
      </x:c>
      <x:c r="C79" s="18" t="str">
        <x:v>未按合同规定的用途使用贷款；</x:v>
      </x:c>
      <x:c r="D79" s="18" t="str">
        <x:v>FACTUAL</x:v>
      </x:c>
      <x:c r="E79" s="18" t="str">
        <x:v>UNSUPPORTED</x:v>
      </x:c>
      <x:c r="F79" s="18" t="str">
        <x:v>UNSUPPORTED</x:v>
      </x:c>
      <x:c r="G79" s="18" t="str">
        <x:v>UNSUPPORTED</x:v>
      </x:c>
      <x:c r="H79" s="18" t="str">
        <x:v>UNSUPPORTED</x:v>
      </x:c>
      <x:c r="I79" s="18" t="str"/>
      <x:c r="J79" s="18" t="str">
        <x:v>unchanged</x:v>
      </x:c>
      <x:c r="K79" s="19" t="str"/>
      <x:c r="L79" s="19" t="str"/>
    </x:row>
    <x:row r="80">
      <x:c r="A80" s="18" t="str">
        <x:v>PROV-019</x:v>
      </x:c>
      <x:c r="B80" s="18" t="str">
        <x:v>PROV-019-C006</x:v>
      </x:c>
      <x:c r="C80" s="18" t="str">
        <x:v>违法乱纪行为受到学校纪律处分或有关部门刑事处罚；</x:v>
      </x:c>
      <x:c r="D80" s="18" t="str">
        <x:v>FACTUAL</x:v>
      </x:c>
      <x:c r="E80" s="18" t="str">
        <x:v>UNSUPPORTED</x:v>
      </x:c>
      <x:c r="F80" s="18" t="str">
        <x:v>PARTIALLY_SUPPORTED</x:v>
      </x:c>
      <x:c r="G80" s="18" t="str">
        <x:v>PARTIALLY_SUPPORTED</x:v>
      </x:c>
      <x:c r="H80" s="18" t="str">
        <x:v>PARTIALLY_SUPPORTED</x:v>
      </x:c>
      <x:c r="I80" s="18" t="str">
        <x:v>PROV-019-PROV0-STGPUB-0028-0001-S0009</x:v>
      </x:c>
      <x:c r="J80" s="18" t="str">
        <x:v>improved</x:v>
      </x:c>
      <x:c r="K80" s="19" t="str"/>
      <x:c r="L80" s="19" t="str"/>
    </x:row>
    <x:row r="81">
      <x:c r="A81" s="18" t="str">
        <x:v>PROV-019</x:v>
      </x:c>
      <x:c r="B81" s="18" t="str">
        <x:v>PROV-019-C007</x:v>
      </x:c>
      <x:c r="C81" s="18" t="str">
        <x:v>中途辍学、退学、转学、被学校开除或取消学籍；</x:v>
      </x:c>
      <x:c r="D81" s="18" t="str">
        <x:v>FACTUAL</x:v>
      </x:c>
      <x:c r="E81" s="18" t="str">
        <x:v>UNSUPPORTED</x:v>
      </x:c>
      <x:c r="F81" s="18" t="str">
        <x:v>SUPPORTED</x:v>
      </x:c>
      <x:c r="G81" s="18" t="str">
        <x:v>SUPPORTED</x:v>
      </x:c>
      <x:c r="H81" s="18" t="str">
        <x:v>SUPPORTED</x:v>
      </x:c>
      <x:c r="I81" s="18" t="str">
        <x:v>PROV-019-PROV0-STGPUB-0028-0001-S0012</x:v>
      </x:c>
      <x:c r="J81" s="18" t="str">
        <x:v>improved</x:v>
      </x:c>
      <x:c r="K81" s="19" t="str"/>
      <x:c r="L81" s="19" t="str"/>
    </x:row>
    <x:row r="82">
      <x:c r="A82" s="18" t="str">
        <x:v>PROV-019</x:v>
      </x:c>
      <x:c r="B82" s="18" t="str">
        <x:v>PROV-019-C008</x:v>
      </x:c>
      <x:c r="C82" s="18" t="str">
        <x:v>学习不刻苦</x:v>
      </x:c>
      <x:c r="D82" s="18" t="str">
        <x:v>FACTUAL</x:v>
      </x:c>
      <x:c r="E82" s="18" t="str">
        <x:v>UNSUPPORTED</x:v>
      </x:c>
      <x:c r="F82" s="18" t="str">
        <x:v>UNSUPPORTED</x:v>
      </x:c>
      <x:c r="G82" s="18" t="str">
        <x:v>UNSUPPORTED</x:v>
      </x:c>
      <x:c r="H82" s="18" t="str">
        <x:v>UNSUPPORTED</x:v>
      </x:c>
      <x:c r="I82" s="18" t="str"/>
      <x:c r="J82" s="18" t="str">
        <x:v>unchanged</x:v>
      </x:c>
      <x:c r="K82" s="19" t="str"/>
      <x:c r="L82" s="19" t="str"/>
    </x:row>
    <x:row r="83">
      <x:c r="A83" s="18" t="str">
        <x:v>PROV-020</x:v>
      </x:c>
      <x:c r="B83" s="18" t="str">
        <x:v>PROV-020-C001</x:v>
      </x:c>
      <x:c r="C83" s="18" t="str">
        <x:v>国际学生可查询不同签证类型如下：X1签证颁发给长期学习，</x:v>
      </x:c>
      <x:c r="D83" s="18" t="str">
        <x:v>PROCEDURAL</x:v>
      </x:c>
      <x:c r="E83" s="18" t="str">
        <x:v>UNSUPPORTED</x:v>
      </x:c>
      <x:c r="F83" s="18" t="str">
        <x:v>UNSUPPORTED</x:v>
      </x:c>
      <x:c r="G83" s="18" t="str">
        <x:v>UNSUPPORTED</x:v>
      </x:c>
      <x:c r="H83" s="18" t="str">
        <x:v>UNSUPPORTED</x:v>
      </x:c>
      <x:c r="I83" s="18" t="str"/>
      <x:c r="J83" s="18" t="str">
        <x:v>unchanged</x:v>
      </x:c>
      <x:c r="K83" s="19" t="str"/>
      <x:c r="L83" s="19" t="str"/>
    </x:row>
    <x:row r="84">
      <x:c r="A84" s="18" t="str">
        <x:v>PROV-020</x:v>
      </x:c>
      <x:c r="B84" s="18" t="str">
        <x:v>PROV-020-C002</x:v>
      </x:c>
      <x:c r="C84" s="18" t="str">
        <x:v>需在入境后30日内申请学习类居留许可；</x:v>
      </x:c>
      <x:c r="D84" s="18" t="str">
        <x:v>NUMERIC</x:v>
      </x:c>
      <x:c r="E84" s="18" t="str">
        <x:v>PARTIALLY_SUPPORTED</x:v>
      </x:c>
      <x:c r="F84" s="18" t="str">
        <x:v>UNSUPPORTED</x:v>
      </x:c>
      <x:c r="G84" s="18" t="str">
        <x:v>UNSUPPORTED</x:v>
      </x:c>
      <x:c r="H84" s="18" t="str">
        <x:v>UNSUPPORTED</x:v>
      </x:c>
      <x:c r="I84" s="18" t="str"/>
      <x:c r="J84" s="18" t="str">
        <x:v>changed</x:v>
      </x:c>
      <x:c r="K84" s="19" t="str"/>
      <x:c r="L84" s="19" t="str"/>
    </x:row>
    <x:row r="85">
      <x:c r="A85" s="18" t="str">
        <x:v>PROV-020</x:v>
      </x:c>
      <x:c r="B85" s="18" t="str">
        <x:v>PROV-020-C003</x:v>
      </x:c>
      <x:c r="C85" s="18" t="str">
        <x:v>X2签证颁发给短期学习，有效期以签证注明为准。</x:v>
      </x:c>
      <x:c r="D85" s="18" t="str">
        <x:v>FACTUAL</x:v>
      </x:c>
      <x:c r="E85" s="18" t="str">
        <x:v>UNSUPPORTED</x:v>
      </x:c>
      <x:c r="F85" s="18" t="str">
        <x:v>PARTIALLY_SUPPORTED</x:v>
      </x:c>
      <x:c r="G85" s="18" t="str">
        <x:v>SUPPORTED</x:v>
      </x:c>
      <x:c r="H85" s="18" t="str">
        <x:v>SUPPORTED</x:v>
      </x:c>
      <x:c r="I85" s="18" t="str">
        <x:v>PROV-020-PROV0-STGPUB-0177-0002-S0006</x:v>
      </x:c>
      <x:c r="J85" s="18" t="str">
        <x:v>improved</x:v>
      </x:c>
      <x:c r="K85" s="19" t="str"/>
      <x:c r="L85" s="19" t="str"/>
    </x:row>
    <x:row r="86">
      <x:c r="A86" s="18" t="str">
        <x:v>PROV-022</x:v>
      </x:c>
      <x:c r="B86" s="18" t="str">
        <x:v>PROV-022-C001</x:v>
      </x:c>
      <x:c r="C86" s="18" t="str">
        <x:v>学生职业发展指导中心提供生涯咨询、专项辅导、朋辈辅导、求职技巧实训等就业服务。</x:v>
      </x:c>
      <x:c r="D86" s="18" t="str">
        <x:v>PROCEDURAL</x:v>
      </x:c>
      <x:c r="E86" s="18" t="str">
        <x:v>PARTIALLY_SUPPORTED</x:v>
      </x:c>
      <x:c r="F86" s="18" t="str">
        <x:v>PARTIALLY_SUPPORTED</x:v>
      </x:c>
      <x:c r="G86" s="18" t="str">
        <x:v>PARTIALLY_SUPPORTED</x:v>
      </x:c>
      <x:c r="H86" s="18" t="str">
        <x:v>PARTIALLY_SUPPORTED</x:v>
      </x:c>
      <x:c r="I86" s="18" t="str">
        <x:v>PROV-022-PROV0-STGPUB-0005-0000-S0001</x:v>
      </x:c>
      <x:c r="J86" s="18" t="str">
        <x:v>unchanged</x:v>
      </x:c>
      <x:c r="K86" s="19" t="str"/>
      <x:c r="L86" s="19" t="str"/>
    </x:row>
    <x:row r="87">
      <x:c r="A87" s="18" t="str">
        <x:v>PROV-023</x:v>
      </x:c>
      <x:c r="B87" s="18" t="str">
        <x:v>PROV-023-C002</x:v>
      </x:c>
      <x:c r="C87" s="18" t="str">
        <x:v>**生涯咨询**：李锋亮、马昱春、王大亮</x:v>
      </x:c>
      <x:c r="D87" s="18" t="str">
        <x:v>PROCEDURAL</x:v>
      </x:c>
      <x:c r="E87" s="18" t="str">
        <x:v>UNSUPPORTED</x:v>
      </x:c>
      <x:c r="F87" s="18" t="str">
        <x:v>UNSUPPORTED</x:v>
      </x:c>
      <x:c r="G87" s="18" t="str">
        <x:v>UNSUPPORTED</x:v>
      </x:c>
      <x:c r="H87" s="18" t="str">
        <x:v>UNSUPPORTED</x:v>
      </x:c>
      <x:c r="I87" s="18" t="str"/>
      <x:c r="J87" s="18" t="str">
        <x:v>unchanged</x:v>
      </x:c>
      <x:c r="K87" s="19" t="str"/>
      <x:c r="L87" s="19" t="str"/>
    </x:row>
    <x:row r="88">
      <x:c r="A88" s="18" t="str">
        <x:v>PROV-023</x:v>
      </x:c>
      <x:c r="B88" s="18" t="str">
        <x:v>PROV-023-C003</x:v>
      </x:c>
      <x:c r="C88" s="18" t="str">
        <x:v>**简历修改**：朱李婧、陈旭东、董亮、赵梦圆</x:v>
      </x:c>
      <x:c r="D88" s="18" t="str">
        <x:v>FACTUAL</x:v>
      </x:c>
      <x:c r="E88" s="18" t="str">
        <x:v>UNSUPPORTED</x:v>
      </x:c>
      <x:c r="F88" s="18" t="str">
        <x:v>UNSUPPORTED</x:v>
      </x:c>
      <x:c r="G88" s="18" t="str">
        <x:v>UNSUPPORTED</x:v>
      </x:c>
      <x:c r="H88" s="18" t="str">
        <x:v>UNSUPPORTED</x:v>
      </x:c>
      <x:c r="I88" s="18" t="str"/>
      <x:c r="J88" s="18" t="str">
        <x:v>unchanged</x:v>
      </x:c>
      <x:c r="K88" s="19" t="str"/>
      <x:c r="L88" s="19" t="str"/>
    </x:row>
    <x:row r="89">
      <x:c r="A89" s="18" t="str">
        <x:v>PROV-023</x:v>
      </x:c>
      <x:c r="B89" s="18" t="str">
        <x:v>PROV-023-C004</x:v>
      </x:c>
      <x:c r="C89" s="18" t="str">
        <x:v>**模拟面试**：张杨、关麟凤、俞婷君</x:v>
      </x:c>
      <x:c r="D89" s="18" t="str">
        <x:v>FACTUAL</x:v>
      </x:c>
      <x:c r="E89" s="18" t="str">
        <x:v>UNSUPPORTED</x:v>
      </x:c>
      <x:c r="F89" s="18" t="str">
        <x:v>UNSUPPORTED</x:v>
      </x:c>
      <x:c r="G89" s="18" t="str">
        <x:v>UNSUPPORTED</x:v>
      </x:c>
      <x:c r="H89" s="18" t="str">
        <x:v>UNSUPPORTED</x:v>
      </x:c>
      <x:c r="I89" s="18" t="str"/>
      <x:c r="J89" s="18" t="str">
        <x:v>unchanged</x:v>
      </x:c>
      <x:c r="K89" s="19" t="str"/>
      <x:c r="L89" s="19" t="str"/>
    </x:row>
    <x:row r="90">
      <x:c r="A90" s="18" t="str">
        <x:v>PROV-024</x:v>
      </x:c>
      <x:c r="B90" s="18" t="str">
        <x:v>PROV-024-C001</x:v>
      </x:c>
      <x:c r="C90" s="18" t="str">
        <x:v>可以查询开放设备并预约测试，详情请访问清华仪器共享服务平台。</x:v>
      </x:c>
      <x:c r="D90" s="18" t="str">
        <x:v>PROCEDURAL</x:v>
      </x:c>
      <x:c r="E90" s="18" t="str">
        <x:v>UNSUPPORTED</x:v>
      </x:c>
      <x:c r="F90" s="18" t="str">
        <x:v>UNSUPPORTED</x:v>
      </x:c>
      <x:c r="G90" s="18" t="str">
        <x:v>UNSUPPORTED</x:v>
      </x:c>
      <x:c r="H90" s="18" t="str">
        <x:v>UNSUPPORTED</x:v>
      </x:c>
      <x:c r="I90" s="18" t="str"/>
      <x:c r="J90" s="18" t="str">
        <x:v>unchanged</x:v>
      </x:c>
      <x:c r="K90" s="19" t="str"/>
      <x:c r="L90" s="19" t="str"/>
    </x:row>
    <x:row r="91">
      <x:c r="A91" s="18" t="str">
        <x:v>PROV-025</x:v>
      </x:c>
      <x:c r="B91" s="18" t="str">
        <x:v>PROV-025-C001</x:v>
      </x:c>
      <x:c r="C91" s="18" t="str">
        <x:v>通讯作者为我校师生在IEEE金色OA期刊或混合OA期刊发表OA论文时，</x:v>
      </x:c>
      <x:c r="D91" s="18" t="str">
        <x:v>FACTUAL</x:v>
      </x:c>
      <x:c r="E91" s="18" t="str">
        <x:v>UNSUPPORTED</x:v>
      </x:c>
      <x:c r="F91" s="18" t="str">
        <x:v>SUPPORTED</x:v>
      </x:c>
      <x:c r="G91" s="18" t="str">
        <x:v>SUPPORTED</x:v>
      </x:c>
      <x:c r="H91" s="18" t="str">
        <x:v>SUPPORTED</x:v>
      </x:c>
      <x:c r="I91" s="18" t="str">
        <x:v>PROV-025-PROV0-STGPUB-0197-0000-S0001</x:v>
      </x:c>
      <x:c r="J91" s="18" t="str">
        <x:v>improved</x:v>
      </x:c>
      <x:c r="K91" s="19" t="str"/>
      <x:c r="L91" s="19" t="str"/>
    </x:row>
    <x:row r="92">
      <x:c r="A92" s="18" t="str">
        <x:v>PROV-025</x:v>
      </x:c>
      <x:c r="B92" s="18" t="str">
        <x:v>PROV-025-C002</x:v>
      </x:c>
      <x:c r="C92" s="18" t="str">
        <x:v>可获得9折费用折扣。</x:v>
      </x:c>
      <x:c r="D92" s="18" t="str">
        <x:v>NUMERIC</x:v>
      </x:c>
      <x:c r="E92" s="18" t="str">
        <x:v>UNSUPPORTED</x:v>
      </x:c>
      <x:c r="F92" s="18" t="str">
        <x:v>UNSUPPORTED</x:v>
      </x:c>
      <x:c r="G92" s="18" t="str">
        <x:v>UNSUPPORTED</x:v>
      </x:c>
      <x:c r="H92" s="18" t="str">
        <x:v>UNSUPPORTED</x:v>
      </x:c>
      <x:c r="I92" s="18" t="str"/>
      <x:c r="J92" s="18" t="str">
        <x:v>unchanged</x:v>
      </x:c>
      <x:c r="K92" s="19" t="str"/>
      <x:c r="L92" s="19" t="str"/>
    </x:row>
    <x:row r="93">
      <x:c r="A93" s="18" t="str">
        <x:v>PROV-025</x:v>
      </x:c>
      <x:c r="B93" s="18" t="str">
        <x:v>PROV-025-C003</x:v>
      </x:c>
      <x:c r="C93" s="18" t="str">
        <x:v>优惠范围包括Full Open Access与Hybrid Open Access期刊。</x:v>
      </x:c>
      <x:c r="D93" s="18" t="str">
        <x:v>FACTUAL</x:v>
      </x:c>
      <x:c r="E93" s="18" t="str">
        <x:v>UNSUPPORTED</x:v>
      </x:c>
      <x:c r="F93" s="18" t="str">
        <x:v>PARTIALLY_SUPPORTED</x:v>
      </x:c>
      <x:c r="G93" s="18" t="str">
        <x:v>PARTIALLY_SUPPORTED</x:v>
      </x:c>
      <x:c r="H93" s="18" t="str">
        <x:v>PARTIALLY_SUPPORTED</x:v>
      </x:c>
      <x:c r="I93" s="18" t="str">
        <x:v>PROV-025-PROV0-STGPUB-0203-0000-S0010</x:v>
      </x:c>
      <x:c r="J93" s="18" t="str">
        <x:v>improved</x:v>
      </x:c>
      <x:c r="K93" s="19" t="str"/>
      <x:c r="L93" s="19" t="str"/>
    </x:row>
    <x:row r="94">
      <x:c r="A94" s="18" t="str">
        <x:v>PROV-025</x:v>
      </x:c>
      <x:c r="B94" s="18" t="str">
        <x:v>PROV-025-C004</x:v>
      </x:c>
      <x:c r="C94" s="18" t="str">
        <x:v>优惠时间截至2026年12月31日。</x:v>
      </x:c>
      <x:c r="D94" s="18" t="str">
        <x:v>TEMPORAL</x:v>
      </x:c>
      <x:c r="E94" s="18" t="str">
        <x:v>UNSUPPORTED</x:v>
      </x:c>
      <x:c r="F94" s="18" t="str">
        <x:v>UNSUPPORTED</x:v>
      </x:c>
      <x:c r="G94" s="18" t="str">
        <x:v>PARTIALLY_SUPPORTED</x:v>
      </x:c>
      <x:c r="H94" s="18" t="str">
        <x:v>PARTIALLY_SUPPORTED</x:v>
      </x:c>
      <x:c r="I94" s="18" t="str">
        <x:v>PROV-025-PROV0-STGPUB-0203-0000-S0021</x:v>
      </x:c>
      <x:c r="J94" s="18" t="str">
        <x:v>improved</x:v>
      </x:c>
      <x:c r="K94" s="19" t="str"/>
      <x:c r="L94" s="19" t="str"/>
    </x:row>
    <x:row r="95">
      <x:c r="A95" s="18" t="str">
        <x:v>PROV-026</x:v>
      </x:c>
      <x:c r="B95" s="18" t="str">
        <x:v>PROV-026-C001</x:v>
      </x:c>
      <x:c r="C95" s="18" t="str">
        <x:v>信息化教学环境服务负责学校信息化教室、录播系统和教学技术支持。</x:v>
      </x:c>
      <x:c r="D95" s="18" t="str">
        <x:v>LOCATION</x:v>
      </x:c>
      <x:c r="E95" s="18" t="str">
        <x:v>SUPPORTED</x:v>
      </x:c>
      <x:c r="F95" s="18" t="str">
        <x:v>SUPPORTED</x:v>
      </x:c>
      <x:c r="G95" s="18" t="str">
        <x:v>SUPPORTED</x:v>
      </x:c>
      <x:c r="H95" s="18" t="str">
        <x:v>SUPPORTED</x:v>
      </x:c>
      <x:c r="I95" s="18" t="str">
        <x:v>PROV-026-PROV0-STGPUB-0214-0000-S0007</x:v>
      </x:c>
      <x:c r="J95" s="18" t="str">
        <x:v>unchanged</x:v>
      </x:c>
      <x:c r="K95" s="19" t="str"/>
      <x:c r="L95" s="19" t="str"/>
    </x:row>
    <x:row r="96">
      <x:c r="A96" s="18" t="str">
        <x:v>PROV-027</x:v>
      </x:c>
      <x:c r="B96" s="18" t="str">
        <x:v>PROV-027-C001</x:v>
      </x:c>
      <x:c r="C96" s="18" t="str">
        <x:v>清华专业学位人才培养项目采用“高端定位、清华特色、中国视角”的建设标准。</x:v>
      </x:c>
      <x:c r="D96" s="18" t="str">
        <x:v>FACTUAL</x:v>
      </x:c>
      <x:c r="E96" s="18" t="str">
        <x:v>PARTIALLY_SUPPORTED</x:v>
      </x:c>
      <x:c r="F96" s="18" t="str">
        <x:v>UNSUPPORTED</x:v>
      </x:c>
      <x:c r="G96" s="18" t="str">
        <x:v>UNSUPPORTED</x:v>
      </x:c>
      <x:c r="H96" s="18" t="str">
        <x:v>UNSUPPORTED</x:v>
      </x:c>
      <x:c r="I96" s="18" t="str"/>
      <x:c r="J96" s="18" t="str">
        <x:v>changed</x:v>
      </x:c>
      <x:c r="K96" s="19" t="str"/>
      <x:c r="L96" s="19" t="str"/>
    </x:row>
    <x:row r="97">
      <x:c r="A97" s="18" t="str">
        <x:v>PROV-028</x:v>
      </x:c>
      <x:c r="B97" s="18" t="str">
        <x:v>PROV-028-C001</x:v>
      </x:c>
      <x:c r="C97" s="18" t="str">
        <x:v>单位号：000 建筑学院 jzxy；</x:v>
      </x:c>
      <x:c r="D97" s="18" t="str">
        <x:v>NUMERIC</x:v>
      </x:c>
      <x:c r="E97" s="18" t="str">
        <x:v>UNSUPPORTED</x:v>
      </x:c>
      <x:c r="F97" s="18" t="str">
        <x:v>SUPPORTED</x:v>
      </x:c>
      <x:c r="G97" s="18" t="str">
        <x:v>SUPPORTED</x:v>
      </x:c>
      <x:c r="H97" s="18" t="str">
        <x:v>SUPPORTED</x:v>
      </x:c>
      <x:c r="I97" s="18" t="str">
        <x:v>PROV-028-PROV0-RESV1-0010-0000-S0007</x:v>
      </x:c>
      <x:c r="J97" s="18" t="str">
        <x:v>improved</x:v>
      </x:c>
      <x:c r="K97" s="19" t="str"/>
      <x:c r="L97" s="19" t="str"/>
    </x:row>
    <x:row r="98">
      <x:c r="A98" s="18" t="str">
        <x:v>PROV-028</x:v>
      </x:c>
      <x:c r="B98" s="18" t="str">
        <x:v>PROV-028-C002</x:v>
      </x:c>
      <x:c r="C98" s="18" t="str">
        <x:v>003 土木系 tmx；</x:v>
      </x:c>
      <x:c r="D98" s="18" t="str">
        <x:v>NUMERIC</x:v>
      </x:c>
      <x:c r="E98" s="18" t="str">
        <x:v>UNSUPPORTED</x:v>
      </x:c>
      <x:c r="F98" s="18" t="str">
        <x:v>SUPPORTED</x:v>
      </x:c>
      <x:c r="G98" s="18" t="str">
        <x:v>SUPPORTED</x:v>
      </x:c>
      <x:c r="H98" s="18" t="str">
        <x:v>SUPPORTED</x:v>
      </x:c>
      <x:c r="I98" s="18" t="str">
        <x:v>PROV-028-PROV0-RESV1-0010-0000-S0010</x:v>
      </x:c>
      <x:c r="J98" s="18" t="str">
        <x:v>improved</x:v>
      </x:c>
      <x:c r="K98" s="19" t="str"/>
      <x:c r="L98" s="19" t="str"/>
    </x:row>
    <x:row r="99">
      <x:c r="A99" s="18" t="str">
        <x:v>PROV-028</x:v>
      </x:c>
      <x:c r="B99" s="18" t="str">
        <x:v>PROV-028-C003</x:v>
      </x:c>
      <x:c r="C99" s="18" t="str">
        <x:v>004 水利系 slx；</x:v>
      </x:c>
      <x:c r="D99" s="18" t="str">
        <x:v>NUMERIC</x:v>
      </x:c>
      <x:c r="E99" s="18" t="str">
        <x:v>UNSUPPORTED</x:v>
      </x:c>
      <x:c r="F99" s="18" t="str">
        <x:v>PARTIALLY_SUPPORTED</x:v>
      </x:c>
      <x:c r="G99" s="18" t="str">
        <x:v>SUPPORTED</x:v>
      </x:c>
      <x:c r="H99" s="18" t="str">
        <x:v>SUPPORTED</x:v>
      </x:c>
      <x:c r="I99" s="18" t="str">
        <x:v>PROV-028-PROV0-RESV1-0010-0000-S0013</x:v>
      </x:c>
      <x:c r="J99" s="18" t="str">
        <x:v>improved</x:v>
      </x:c>
      <x:c r="K99" s="19" t="str"/>
      <x:c r="L99" s="19" t="str"/>
    </x:row>
    <x:row r="100">
      <x:c r="A100" s="18" t="str">
        <x:v>PROV-028</x:v>
      </x:c>
      <x:c r="B100" s="18" t="str">
        <x:v>PROV-028-C004</x:v>
      </x:c>
      <x:c r="C100" s="18" t="str">
        <x:v>005 环境学院 hjxy；</x:v>
      </x:c>
      <x:c r="D100" s="18" t="str">
        <x:v>NUMERIC</x:v>
      </x:c>
      <x:c r="E100" s="18" t="str">
        <x:v>UNSUPPORTED</x:v>
      </x:c>
      <x:c r="F100" s="18" t="str">
        <x:v>SUPPORTED</x:v>
      </x:c>
      <x:c r="G100" s="18" t="str">
        <x:v>SUPPORTED</x:v>
      </x:c>
      <x:c r="H100" s="18" t="str">
        <x:v>SUPPORTED</x:v>
      </x:c>
      <x:c r="I100" s="18" t="str">
        <x:v>PROV-028-PROV0-RESV1-0010-0000-S0016</x:v>
      </x:c>
      <x:c r="J100" s="18" t="str">
        <x:v>improved</x:v>
      </x:c>
      <x:c r="K100" s="19" t="str"/>
      <x:c r="L100" s="19" t="str"/>
    </x:row>
    <x:row r="101">
      <x:c r="A101" s="18" t="str">
        <x:v>PROV-028</x:v>
      </x:c>
      <x:c r="B101" s="18" t="str">
        <x:v>PROV-028-C005</x:v>
      </x:c>
      <x:c r="C101" s="18" t="str">
        <x:v>011 机械学院 jxxy；</x:v>
      </x:c>
      <x:c r="D101" s="18" t="str">
        <x:v>NUMERIC</x:v>
      </x:c>
      <x:c r="E101" s="18" t="str">
        <x:v>UNSUPPORTED</x:v>
      </x:c>
      <x:c r="F101" s="18" t="str">
        <x:v>SUPPORTED</x:v>
      </x:c>
      <x:c r="G101" s="18" t="str">
        <x:v>SUPPORTED</x:v>
      </x:c>
      <x:c r="H101" s="18" t="str">
        <x:v>SUPPORTED</x:v>
      </x:c>
      <x:c r="I101" s="18" t="str">
        <x:v>PROV-028-PROV0-RESV1-0010-0000-S0019</x:v>
      </x:c>
      <x:c r="J101" s="18" t="str">
        <x:v>improved</x:v>
      </x:c>
      <x:c r="K101" s="19" t="str"/>
      <x:c r="L101" s="19" t="str"/>
    </x:row>
    <x:row r="102">
      <x:c r="A102" s="18" t="str">
        <x:v>PROV-028</x:v>
      </x:c>
      <x:c r="B102" s="18" t="str">
        <x:v>PROV-028-C006</x:v>
      </x:c>
      <x:c r="C102" s="18" t="str">
        <x:v>012 机械系 jxx；</x:v>
      </x:c>
      <x:c r="D102" s="18" t="str">
        <x:v>NUMERIC</x:v>
      </x:c>
      <x:c r="E102" s="18" t="str">
        <x:v>UNSUPPORTED</x:v>
      </x:c>
      <x:c r="F102" s="18" t="str">
        <x:v>SUPPORTED</x:v>
      </x:c>
      <x:c r="G102" s="18" t="str">
        <x:v>SUPPORTED</x:v>
      </x:c>
      <x:c r="H102" s="18" t="str">
        <x:v>SUPPORTED</x:v>
      </x:c>
      <x:c r="I102" s="18" t="str">
        <x:v>PROV-028-PROV0-RESV1-0010-0000-S0022</x:v>
      </x:c>
      <x:c r="J102" s="18" t="str">
        <x:v>improved</x:v>
      </x:c>
      <x:c r="K102" s="19" t="str"/>
      <x:c r="L102" s="19" t="str"/>
    </x:row>
    <x:row r="103">
      <x:c r="A103" s="18" t="str">
        <x:v>PROV-028</x:v>
      </x:c>
      <x:c r="B103" s="18" t="str">
        <x:v>PROV-028-C007</x:v>
      </x:c>
      <x:c r="C103" s="18" t="str">
        <x:v>013 精仪系 jyx；</x:v>
      </x:c>
      <x:c r="D103" s="18" t="str">
        <x:v>NUMERIC</x:v>
      </x:c>
      <x:c r="E103" s="18" t="str">
        <x:v>UNSUPPORTED</x:v>
      </x:c>
      <x:c r="F103" s="18" t="str">
        <x:v>SUPPORTED</x:v>
      </x:c>
      <x:c r="G103" s="18" t="str">
        <x:v>SUPPORTED</x:v>
      </x:c>
      <x:c r="H103" s="18" t="str">
        <x:v>SUPPORTED</x:v>
      </x:c>
      <x:c r="I103" s="18" t="str">
        <x:v>PROV-028-PROV0-RESV1-0010-0000-S0025</x:v>
      </x:c>
      <x:c r="J103" s="18" t="str">
        <x:v>improved</x:v>
      </x:c>
      <x:c r="K103" s="19" t="str"/>
      <x:c r="L103" s="19" t="str"/>
    </x:row>
    <x:row r="104">
      <x:c r="A104" s="18" t="str">
        <x:v>PROV-028</x:v>
      </x:c>
      <x:c r="B104" s="18" t="str">
        <x:v>PROV-028-C008</x:v>
      </x:c>
      <x:c r="C104" s="18" t="str">
        <x:v>014 能动系 ndx；</x:v>
      </x:c>
      <x:c r="D104" s="18" t="str">
        <x:v>NUMERIC</x:v>
      </x:c>
      <x:c r="E104" s="18" t="str">
        <x:v>UNSUPPORTED</x:v>
      </x:c>
      <x:c r="F104" s="18" t="str">
        <x:v>PARTIALLY_SUPPORTED</x:v>
      </x:c>
      <x:c r="G104" s="18" t="str">
        <x:v>PARTIALLY_SUPPORTED</x:v>
      </x:c>
      <x:c r="H104" s="18" t="str">
        <x:v>PARTIALLY_SUPPORTED</x:v>
      </x:c>
      <x:c r="I104" s="18" t="str">
        <x:v>PROV-028-PROV0-RESV1-0010-0000-S0028</x:v>
      </x:c>
      <x:c r="J104" s="18" t="str">
        <x:v>improved</x:v>
      </x:c>
      <x:c r="K104" s="19" t="str"/>
      <x:c r="L104" s="19" t="str"/>
    </x:row>
    <x:row r="105">
      <x:c r="A105" s="18" t="str">
        <x:v>PROV-028</x:v>
      </x:c>
      <x:c r="B105" s="18" t="str">
        <x:v>PROV-028-C009</x:v>
      </x:c>
      <x:c r="C105" s="18" t="str">
        <x:v>015 车辆学院 clxy；</x:v>
      </x:c>
      <x:c r="D105" s="18" t="str">
        <x:v>NUMERIC</x:v>
      </x:c>
      <x:c r="E105" s="18" t="str">
        <x:v>UNSUPPORTED</x:v>
      </x:c>
      <x:c r="F105" s="18" t="str">
        <x:v>SUPPORTED</x:v>
      </x:c>
      <x:c r="G105" s="18" t="str">
        <x:v>SUPPORTED</x:v>
      </x:c>
      <x:c r="H105" s="18" t="str">
        <x:v>UNSUPPORTED</x:v>
      </x:c>
      <x:c r="I105" s="18" t="str"/>
      <x:c r="J105" s="18" t="str">
        <x:v>unchanged</x:v>
      </x:c>
      <x:c r="K105" s="19" t="str"/>
      <x:c r="L105" s="19" t="str"/>
    </x:row>
    <x:row r="106">
      <x:c r="A106" s="18" t="str">
        <x:v>PROV-028</x:v>
      </x:c>
      <x:c r="B106" s="18" t="str">
        <x:v>PROV-028-C010</x:v>
      </x:c>
      <x:c r="C106" s="18" t="str">
        <x:v>016 工业工程系 gygcx；</x:v>
      </x:c>
      <x:c r="D106" s="18" t="str">
        <x:v>NUMERIC</x:v>
      </x:c>
      <x:c r="E106" s="18" t="str">
        <x:v>UNSUPPORTED</x:v>
      </x:c>
      <x:c r="F106" s="18" t="str">
        <x:v>SUPPORTED</x:v>
      </x:c>
      <x:c r="G106" s="18" t="str">
        <x:v>SUPPORTED</x:v>
      </x:c>
      <x:c r="H106" s="18" t="str">
        <x:v>SUPPORTED</x:v>
      </x:c>
      <x:c r="I106" s="18" t="str">
        <x:v>PROV-028-PROV0-RESV1-0010-0000-S0034</x:v>
      </x:c>
      <x:c r="J106" s="18" t="str">
        <x:v>improved</x:v>
      </x:c>
      <x:c r="K106" s="19" t="str"/>
      <x:c r="L106" s="19" t="str"/>
    </x:row>
    <x:row r="107">
      <x:c r="A107" s="18" t="str">
        <x:v>PROV-028</x:v>
      </x:c>
      <x:c r="B107" s="18" t="str">
        <x:v>PROV-028-C011</x:v>
      </x:c>
      <x:c r="C107" s="18" t="str">
        <x:v>021 信息学院 xxxy。</x:v>
      </x:c>
      <x:c r="D107" s="18" t="str">
        <x:v>NUMERIC</x:v>
      </x:c>
      <x:c r="E107" s="18" t="str">
        <x:v>UNSUPPORTED</x:v>
      </x:c>
      <x:c r="F107" s="18" t="str">
        <x:v>SUPPORTED</x:v>
      </x:c>
      <x:c r="G107" s="18" t="str">
        <x:v>SUPPORTED</x:v>
      </x:c>
      <x:c r="H107" s="18" t="str">
        <x:v>SUPPORTED</x:v>
      </x:c>
      <x:c r="I107" s="18" t="str">
        <x:v>PROV-028-PROV0-RESV1-0010-0000-S0036</x:v>
      </x:c>
      <x:c r="J107" s="18" t="str">
        <x:v>improved</x:v>
      </x:c>
      <x:c r="K107" s="19" t="str"/>
      <x:c r="L107" s="19" t="str"/>
    </x:row>
    <x:row r="108">
      <x:c r="A108" s="18" t="str">
        <x:v>PROV-028</x:v>
      </x:c>
      <x:c r="B108" s="18" t="str">
        <x:v>PROV-028-C012</x:v>
      </x:c>
      <x:c r="C108" s="18" t="str">
        <x:v>简称：建筑学院、土木工程系</x:v>
      </x:c>
      <x:c r="D108" s="18" t="str">
        <x:v>ENTITY</x:v>
      </x:c>
      <x:c r="E108" s="18" t="str">
        <x:v>UNSUPPORTED</x:v>
      </x:c>
      <x:c r="F108" s="18" t="str">
        <x:v>UNSUPPORTED</x:v>
      </x:c>
      <x:c r="G108" s="18" t="str">
        <x:v>UNSUPPORTED</x:v>
      </x:c>
      <x:c r="H108" s="18" t="str">
        <x:v>UNSUPPORTED</x:v>
      </x:c>
      <x:c r="I108" s="18" t="str"/>
      <x:c r="J108" s="18" t="str">
        <x:v>unchanged</x:v>
      </x:c>
      <x:c r="K108" s="19" t="str"/>
      <x:c r="L108" s="19" t="str"/>
    </x:row>
  </x:sheetData>
  <x:mergeCells>
    <x:mergeCell ref="A1:L1"/>
    <x:mergeCell ref="A2:L2"/>
  </x:mergeCells>
  <x:conditionalFormatting sqref="J5:J108">
    <x:cfRule type="containsText" dxfId="0" priority="1" operator="containsText" text="improved"/>
  </x:conditionalFormatting>
  <x:dataValidations count="1">
    <x:dataValidation type="list" sqref="K5:K108">
      <x:formula1>"SUPPORTED,PARTIALLY_SUPPORTED,UNSUPPORTED,CONFLICTING_EVIDENCE,uncertain"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9945082990a478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42" hidden="0" customWidth="1"/>
    <x:col min="3" max="3" width="18" hidden="0" customWidth="1"/>
    <x:col min="4" max="4" width="19" hidden="0" customWidth="1"/>
    <x:col min="5" max="5" width="19" hidden="0" customWidth="1"/>
    <x:col min="6" max="6" width="13" hidden="0" customWidth="1"/>
    <x:col min="7" max="7" width="16" hidden="0" customWidth="1"/>
    <x:col min="8" max="8" width="16" hidden="0" customWidth="1"/>
    <x:col min="9" max="9" width="16" hidden="0" customWidth="1"/>
    <x:col min="10" max="10" width="17" hidden="0" customWidth="1"/>
    <x:col min="11" max="11" width="13" hidden="0" customWidth="1"/>
    <x:col min="12" max="12" width="18" hidden="0" customWidth="1"/>
    <x:col min="13" max="13" width="20" hidden="0" customWidth="1"/>
  </x:cols>
  <x:sheetData>
    <x:row r="1">
      <x:c r="A1" s="11" t="str">
        <x:v>38-Question Answer-level Citation Comparison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  <x:c r="M1" s="11"/>
    </x:row>
    <x:row r="3">
      <x:c r="A3" s="15" t="str">
        <x:v>question_id</x:v>
      </x:c>
      <x:c r="B3" s="15" t="str">
        <x:v>question</x:v>
      </x:c>
      <x:c r="C3" s="15" t="str">
        <x:v>category</x:v>
      </x:c>
      <x:c r="D3" s="15" t="str">
        <x:v>v1_citation_status</x:v>
      </x:c>
      <x:c r="E3" s="15" t="str">
        <x:v>v2_citation_status</x:v>
      </x:c>
      <x:c r="F3" s="15" t="str">
        <x:v>claim_count</x:v>
      </x:c>
      <x:c r="G3" s="15" t="str">
        <x:v>factual_claim_count</x:v>
      </x:c>
      <x:c r="H3" s="15" t="str">
        <x:v>supported_claim_count</x:v>
      </x:c>
      <x:c r="I3" s="15" t="str">
        <x:v>partial_claim_count</x:v>
      </x:c>
      <x:c r="J3" s="15" t="str">
        <x:v>unsupported_claim_count</x:v>
      </x:c>
      <x:c r="K3" s="15" t="str">
        <x:v>citation_count</x:v>
      </x:c>
      <x:c r="L3" s="15" t="str">
        <x:v>answer_preservation</x:v>
      </x:c>
      <x:c r="M3" s="15" t="str">
        <x:v>source_quality_failure</x:v>
      </x:c>
    </x:row>
    <x:row r="4">
      <x:c r="A4" s="21" t="str">
        <x:v>RET-01</x:v>
      </x:c>
      <x:c r="B4" s="21" t="str">
        <x:v>如何查询清华大学本科生学籍、注册与培养管理规定？</x:v>
      </x:c>
      <x:c r="C4" s="21" t="str">
        <x:v>教务与学籍</x:v>
      </x:c>
      <x:c r="D4" s="21" t="str">
        <x:v>NONCOMPLIANT</x:v>
      </x:c>
      <x:c r="E4" s="21" t="str">
        <x:v>COMPLIANT</x:v>
      </x:c>
      <x:c r="F4" s="21" t="n">
        <x:v>2</x:v>
      </x:c>
      <x:c r="G4" s="21" t="n">
        <x:v>2</x:v>
      </x:c>
      <x:c r="H4" s="21" t="n">
        <x:v>2</x:v>
      </x:c>
      <x:c r="I4" s="21" t="n">
        <x:v>0</x:v>
      </x:c>
      <x:c r="J4" s="21" t="n">
        <x:v>0</x:v>
      </x:c>
      <x:c r="K4" s="21" t="n">
        <x:v>2</x:v>
      </x:c>
      <x:c r="L4" s="21" t="n">
        <x:v>1</x:v>
      </x:c>
      <x:c r="M4" s="21" t="n">
        <x:v>0</x:v>
      </x:c>
    </x:row>
    <x:row r="5">
      <x:c r="A5" s="21" t="str">
        <x:v>RET-02</x:v>
      </x:c>
      <x:c r="B5" s="21" t="str">
        <x:v>学生公寓住宿规定、入住和退宿怎么办？</x:v>
      </x:c>
      <x:c r="C5" s="21" t="str">
        <x:v>住宿服务</x:v>
      </x:c>
      <x:c r="D5" s="21" t="str">
        <x:v>NONCOMPLIANT</x:v>
      </x:c>
      <x:c r="E5" s="21" t="str">
        <x:v>NONCOMPLIANT</x:v>
      </x:c>
      <x:c r="F5" s="21" t="n">
        <x:v>10</x:v>
      </x:c>
      <x:c r="G5" s="21" t="n">
        <x:v>9</x:v>
      </x:c>
      <x:c r="H5" s="21" t="n">
        <x:v>3</x:v>
      </x:c>
      <x:c r="I5" s="21" t="n">
        <x:v>4</x:v>
      </x:c>
      <x:c r="J5" s="21" t="n">
        <x:v>2</x:v>
      </x:c>
      <x:c r="K5" s="21" t="n">
        <x:v>7</x:v>
      </x:c>
      <x:c r="L5" s="21" t="n">
        <x:v>1</x:v>
      </x:c>
      <x:c r="M5" s="21" t="n">
        <x:v>0</x:v>
      </x:c>
    </x:row>
    <x:row r="6">
      <x:c r="A6" s="21" t="str">
        <x:v>RET-03</x:v>
      </x:c>
      <x:c r="B6" s="21" t="str">
        <x:v>清华校园网如何接入，账号或网络故障如何处理？</x:v>
      </x:c>
      <x:c r="C6" s="21" t="str">
        <x:v>网络与信息化</x:v>
      </x:c>
      <x:c r="D6" s="21" t="str">
        <x:v>NONCOMPLIANT</x:v>
      </x:c>
      <x:c r="E6" s="21" t="str">
        <x:v>NONCOMPLIANT</x:v>
      </x:c>
      <x:c r="F6" s="21" t="n">
        <x:v>2</x:v>
      </x:c>
      <x:c r="G6" s="21" t="n">
        <x:v>2</x:v>
      </x:c>
      <x:c r="H6" s="21" t="n">
        <x:v>1</x:v>
      </x:c>
      <x:c r="I6" s="21" t="n">
        <x:v>0</x:v>
      </x:c>
      <x:c r="J6" s="21" t="n">
        <x:v>1</x:v>
      </x:c>
      <x:c r="K6" s="21" t="n">
        <x:v>1</x:v>
      </x:c>
      <x:c r="L6" s="21" t="n">
        <x:v>1</x:v>
      </x:c>
      <x:c r="M6" s="21" t="n">
        <x:v>0</x:v>
      </x:c>
    </x:row>
    <x:row r="7">
      <x:c r="A7" s="21" t="str">
        <x:v>RET-04</x:v>
      </x:c>
      <x:c r="B7" s="21" t="str">
        <x:v>清华校医院门诊、报销和就医流程是什么？</x:v>
      </x:c>
      <x:c r="C7" s="21" t="str">
        <x:v>医疗健康</x:v>
      </x:c>
      <x:c r="D7" s="21" t="str">
        <x:v>NONCOMPLIANT</x:v>
      </x:c>
      <x:c r="E7" s="21" t="str">
        <x:v>NONCOMPLIANT</x:v>
      </x:c>
      <x:c r="F7" s="21" t="n">
        <x:v>3</x:v>
      </x:c>
      <x:c r="G7" s="21" t="n">
        <x:v>3</x:v>
      </x:c>
      <x:c r="H7" s="21" t="n">
        <x:v>0</x:v>
      </x:c>
      <x:c r="I7" s="21" t="n">
        <x:v>0</x:v>
      </x:c>
      <x:c r="J7" s="21" t="n">
        <x:v>3</x:v>
      </x:c>
      <x:c r="K7" s="21" t="n">
        <x:v>0</x:v>
      </x:c>
      <x:c r="L7" s="21" t="n">
        <x:v>1</x:v>
      </x:c>
      <x:c r="M7" s="21" t="n">
        <x:v>0</x:v>
      </x:c>
    </x:row>
    <x:row r="8">
      <x:c r="A8" s="21" t="str">
        <x:v>RET-05</x:v>
      </x:c>
      <x:c r="B8" s="21" t="str">
        <x:v>清华大学图书馆如何借书、使用电子资源和查询开放时间？</x:v>
      </x:c>
      <x:c r="C8" s="21" t="str">
        <x:v>图书馆服务</x:v>
      </x:c>
      <x:c r="D8" s="21" t="str">
        <x:v>NONCOMPLIANT</x:v>
      </x:c>
      <x:c r="E8" s="21" t="str">
        <x:v>NONCOMPLIANT</x:v>
      </x:c>
      <x:c r="F8" s="21" t="n">
        <x:v>8</x:v>
      </x:c>
      <x:c r="G8" s="21" t="n">
        <x:v>0</x:v>
      </x:c>
      <x:c r="H8" s="21" t="n">
        <x:v>0</x:v>
      </x:c>
      <x:c r="I8" s="21" t="n">
        <x:v>0</x:v>
      </x:c>
      <x:c r="J8" s="21" t="n">
        <x:v>0</x:v>
      </x:c>
      <x:c r="K8" s="21" t="n">
        <x:v>0</x:v>
      </x:c>
      <x:c r="L8" s="21" t="n">
        <x:v>1</x:v>
      </x:c>
      <x:c r="M8" s="21" t="n">
        <x:v>0</x:v>
      </x:c>
    </x:row>
    <x:row r="9">
      <x:c r="A9" s="21" t="str">
        <x:v>RET-06</x:v>
      </x:c>
      <x:c r="B9" s="21" t="str">
        <x:v>清华学生奖学金、助学金申请和评选办法是什么？</x:v>
      </x:c>
      <x:c r="C9" s="21" t="str">
        <x:v>奖助与资助</x:v>
      </x:c>
      <x:c r="D9" s="21" t="str">
        <x:v>NONCOMPLIANT</x:v>
      </x:c>
      <x:c r="E9" s="21" t="str">
        <x:v>NONCOMPLIANT</x:v>
      </x:c>
      <x:c r="F9" s="21" t="n">
        <x:v>5</x:v>
      </x:c>
      <x:c r="G9" s="21" t="n">
        <x:v>4</x:v>
      </x:c>
      <x:c r="H9" s="21" t="n">
        <x:v>3</x:v>
      </x:c>
      <x:c r="I9" s="21" t="n">
        <x:v>0</x:v>
      </x:c>
      <x:c r="J9" s="21" t="n">
        <x:v>1</x:v>
      </x:c>
      <x:c r="K9" s="21" t="n">
        <x:v>3</x:v>
      </x:c>
      <x:c r="L9" s="21" t="n">
        <x:v>1</x:v>
      </x:c>
      <x:c r="M9" s="21" t="n">
        <x:v>0</x:v>
      </x:c>
    </x:row>
    <x:row r="10">
      <x:c r="A10" s="21" t="str">
        <x:v>RET-07</x:v>
      </x:c>
      <x:c r="B10" s="21" t="str">
        <x:v>清华学生如何获得就业指导、招聘与职业咨询？</x:v>
      </x:c>
      <x:c r="C10" s="21" t="str">
        <x:v>就业与职业发展</x:v>
      </x:c>
      <x:c r="D10" s="21" t="str">
        <x:v>NONCOMPLIANT</x:v>
      </x:c>
      <x:c r="E10" s="21" t="str">
        <x:v>NONCOMPLIANT</x:v>
      </x:c>
      <x:c r="F10" s="21" t="n">
        <x:v>5</x:v>
      </x:c>
      <x:c r="G10" s="21" t="n">
        <x:v>5</x:v>
      </x:c>
      <x:c r="H10" s="21" t="n">
        <x:v>1</x:v>
      </x:c>
      <x:c r="I10" s="21" t="n">
        <x:v>2</x:v>
      </x:c>
      <x:c r="J10" s="21" t="n">
        <x:v>2</x:v>
      </x:c>
      <x:c r="K10" s="21" t="n">
        <x:v>3</x:v>
      </x:c>
      <x:c r="L10" s="21" t="n">
        <x:v>1</x:v>
      </x:c>
      <x:c r="M10" s="21" t="n">
        <x:v>0</x:v>
      </x:c>
    </x:row>
    <x:row r="11">
      <x:c r="A11" s="21" t="str">
        <x:v>RET-08</x:v>
      </x:c>
      <x:c r="B11" s="21" t="str">
        <x:v>校内食堂、餐饮服务和就餐信息在哪里查询？</x:v>
      </x:c>
      <x:c r="C11" s="21" t="str">
        <x:v>餐饮服务</x:v>
      </x:c>
      <x:c r="D11" s="21" t="str">
        <x:v>NONCOMPLIANT</x:v>
      </x:c>
      <x:c r="E11" s="21" t="str">
        <x:v>NONCOMPLIANT</x:v>
      </x:c>
      <x:c r="F11" s="21" t="n">
        <x:v>3</x:v>
      </x:c>
      <x:c r="G11" s="21" t="n">
        <x:v>3</x:v>
      </x:c>
      <x:c r="H11" s="21" t="n">
        <x:v>0</x:v>
      </x:c>
      <x:c r="I11" s="21" t="n">
        <x:v>0</x:v>
      </x:c>
      <x:c r="J11" s="21" t="n">
        <x:v>3</x:v>
      </x:c>
      <x:c r="K11" s="21" t="n">
        <x:v>0</x:v>
      </x:c>
      <x:c r="L11" s="21" t="n">
        <x:v>1</x:v>
      </x:c>
      <x:c r="M11" s="21" t="n">
        <x:v>0</x:v>
      </x:c>
    </x:row>
    <x:row r="12">
      <x:c r="A12" s="21" t="str">
        <x:v>RET-09</x:v>
      </x:c>
      <x:c r="B12" s="21" t="str">
        <x:v>校园交通、校车和进出校路线怎么查询？</x:v>
      </x:c>
      <x:c r="C12" s="21" t="str">
        <x:v>交通服务</x:v>
      </x:c>
      <x:c r="D12" s="21" t="str">
        <x:v>COMPLIANT</x:v>
      </x:c>
      <x:c r="E12" s="21" t="str">
        <x:v>COMPLIANT</x:v>
      </x:c>
      <x:c r="F12" s="21" t="n">
        <x:v>1</x:v>
      </x:c>
      <x:c r="G12" s="21" t="n">
        <x:v>0</x:v>
      </x:c>
      <x:c r="H12" s="21" t="n">
        <x:v>0</x:v>
      </x:c>
      <x:c r="I12" s="21" t="n">
        <x:v>0</x:v>
      </x:c>
      <x:c r="J12" s="21" t="n">
        <x:v>0</x:v>
      </x:c>
      <x:c r="K12" s="21" t="n">
        <x:v>0</x:v>
      </x:c>
      <x:c r="L12" s="21" t="n">
        <x:v>1</x:v>
      </x:c>
      <x:c r="M12" s="21" t="n">
        <x:v>1</x:v>
      </x:c>
    </x:row>
    <x:row r="13">
      <x:c r="A13" s="21" t="str">
        <x:v>RET-10</x:v>
      </x:c>
      <x:c r="B13" s="21" t="str">
        <x:v>体育场馆如何预约、查询开放时间和使用规则？</x:v>
      </x:c>
      <x:c r="C13" s="21" t="str">
        <x:v>体育与场馆</x:v>
      </x:c>
      <x:c r="D13" s="21" t="str">
        <x:v>NONCOMPLIANT</x:v>
      </x:c>
      <x:c r="E13" s="21" t="str">
        <x:v>NONCOMPLIANT</x:v>
      </x:c>
      <x:c r="F13" s="21" t="n">
        <x:v>2</x:v>
      </x:c>
      <x:c r="G13" s="21" t="n">
        <x:v>2</x:v>
      </x:c>
      <x:c r="H13" s="21" t="n">
        <x:v>0</x:v>
      </x:c>
      <x:c r="I13" s="21" t="n">
        <x:v>0</x:v>
      </x:c>
      <x:c r="J13" s="21" t="n">
        <x:v>2</x:v>
      </x:c>
      <x:c r="K13" s="21" t="n">
        <x:v>0</x:v>
      </x:c>
      <x:c r="L13" s="21" t="n">
        <x:v>1</x:v>
      </x:c>
      <x:c r="M13" s="21" t="n">
        <x:v>0</x:v>
      </x:c>
    </x:row>
    <x:row r="14">
      <x:c r="A14" s="21" t="str">
        <x:v>PROV-001</x:v>
      </x:c>
      <x:c r="B14" s="21" t="str">
        <x:v>本科新生不能按时报到时如何请假或申请保留入学资格？</x:v>
      </x:c>
      <x:c r="C14" s="21" t="str">
        <x:v>教务与学籍</x:v>
      </x:c>
      <x:c r="D14" s="21" t="str">
        <x:v>NONCOMPLIANT</x:v>
      </x:c>
      <x:c r="E14" s="21" t="str">
        <x:v>NONCOMPLIANT</x:v>
      </x:c>
      <x:c r="F14" s="21" t="n">
        <x:v>3</x:v>
      </x:c>
      <x:c r="G14" s="21" t="n">
        <x:v>3</x:v>
      </x:c>
      <x:c r="H14" s="21" t="n">
        <x:v>0</x:v>
      </x:c>
      <x:c r="I14" s="21" t="n">
        <x:v>1</x:v>
      </x:c>
      <x:c r="J14" s="21" t="n">
        <x:v>2</x:v>
      </x:c>
      <x:c r="K14" s="21" t="n">
        <x:v>1</x:v>
      </x:c>
      <x:c r="L14" s="21" t="n">
        <x:v>1</x:v>
      </x:c>
      <x:c r="M14" s="21" t="n">
        <x:v>0</x:v>
      </x:c>
    </x:row>
    <x:row r="15">
      <x:c r="A15" s="21" t="str">
        <x:v>PROV-002</x:v>
      </x:c>
      <x:c r="B15" s="21" t="str">
        <x:v>在校本科生或研究生办理在学证明，可以去哪里申请和打印？</x:v>
      </x:c>
      <x:c r="C15" s="21" t="str">
        <x:v>教务与学籍</x:v>
      </x:c>
      <x:c r="D15" s="21" t="str">
        <x:v>NONCOMPLIANT</x:v>
      </x:c>
      <x:c r="E15" s="21" t="str">
        <x:v>NONCOMPLIANT</x:v>
      </x:c>
      <x:c r="F15" s="21" t="n">
        <x:v>4</x:v>
      </x:c>
      <x:c r="G15" s="21" t="n">
        <x:v>4</x:v>
      </x:c>
      <x:c r="H15" s="21" t="n">
        <x:v>1</x:v>
      </x:c>
      <x:c r="I15" s="21" t="n">
        <x:v>1</x:v>
      </x:c>
      <x:c r="J15" s="21" t="n">
        <x:v>2</x:v>
      </x:c>
      <x:c r="K15" s="21" t="n">
        <x:v>3</x:v>
      </x:c>
      <x:c r="L15" s="21" t="n">
        <x:v>1</x:v>
      </x:c>
      <x:c r="M15" s="21" t="n">
        <x:v>0</x:v>
      </x:c>
    </x:row>
    <x:row r="16">
      <x:c r="A16" s="21" t="str">
        <x:v>PROV-003</x:v>
      </x:c>
      <x:c r="B16" s="21" t="str">
        <x:v>学生不服学校处理或纪律处分时，校内申诉由哪个机构办理？</x:v>
      </x:c>
      <x:c r="C16" s="21" t="str">
        <x:v>学生事务</x:v>
      </x:c>
      <x:c r="D16" s="21" t="str">
        <x:v>NONCOMPLIANT</x:v>
      </x:c>
      <x:c r="E16" s="21" t="str">
        <x:v>NONCOMPLIANT</x:v>
      </x:c>
      <x:c r="F16" s="21" t="n">
        <x:v>1</x:v>
      </x:c>
      <x:c r="G16" s="21" t="n">
        <x:v>1</x:v>
      </x:c>
      <x:c r="H16" s="21" t="n">
        <x:v>0</x:v>
      </x:c>
      <x:c r="I16" s="21" t="n">
        <x:v>0</x:v>
      </x:c>
      <x:c r="J16" s="21" t="n">
        <x:v>1</x:v>
      </x:c>
      <x:c r="K16" s="21" t="n">
        <x:v>0</x:v>
      </x:c>
      <x:c r="L16" s="21" t="n">
        <x:v>1</x:v>
      </x:c>
      <x:c r="M16" s="21" t="n">
        <x:v>0</x:v>
      </x:c>
    </x:row>
    <x:row r="17">
      <x:c r="A17" s="21" t="str">
        <x:v>PROV-004</x:v>
      </x:c>
      <x:c r="B17" s="21" t="str">
        <x:v>清华学生社团的建设、成立和日常管理依据什么办法？</x:v>
      </x:c>
      <x:c r="C17" s="21" t="str">
        <x:v>学生事务</x:v>
      </x:c>
      <x:c r="D17" s="21" t="str">
        <x:v>COMPLIANT</x:v>
      </x:c>
      <x:c r="E17" s="21" t="str">
        <x:v>NONCOMPLIANT</x:v>
      </x:c>
      <x:c r="F17" s="21" t="n">
        <x:v>1</x:v>
      </x:c>
      <x:c r="G17" s="21" t="n">
        <x:v>1</x:v>
      </x:c>
      <x:c r="H17" s="21" t="n">
        <x:v>0</x:v>
      </x:c>
      <x:c r="I17" s="21" t="n">
        <x:v>0</x:v>
      </x:c>
      <x:c r="J17" s="21" t="n">
        <x:v>1</x:v>
      </x:c>
      <x:c r="K17" s="21" t="n">
        <x:v>0</x:v>
      </x:c>
      <x:c r="L17" s="21" t="n">
        <x:v>1</x:v>
      </x:c>
      <x:c r="M17" s="21" t="n">
        <x:v>0</x:v>
      </x:c>
    </x:row>
    <x:row r="18">
      <x:c r="A18" s="21" t="str">
        <x:v>PROV-005</x:v>
      </x:c>
      <x:c r="B18" s="21" t="str">
        <x:v>学生想申请调整宿舍，应查看什么办理流程？</x:v>
      </x:c>
      <x:c r="C18" s="21" t="str">
        <x:v>住宿服务</x:v>
      </x:c>
      <x:c r="D18" s="21" t="str">
        <x:v>NONCOMPLIANT</x:v>
      </x:c>
      <x:c r="E18" s="21" t="str">
        <x:v>COMPLIANT</x:v>
      </x:c>
      <x:c r="F18" s="21" t="n">
        <x:v>1</x:v>
      </x:c>
      <x:c r="G18" s="21" t="n">
        <x:v>1</x:v>
      </x:c>
      <x:c r="H18" s="21" t="n">
        <x:v>1</x:v>
      </x:c>
      <x:c r="I18" s="21" t="n">
        <x:v>0</x:v>
      </x:c>
      <x:c r="J18" s="21" t="n">
        <x:v>0</x:v>
      </x:c>
      <x:c r="K18" s="21" t="n">
        <x:v>1</x:v>
      </x:c>
      <x:c r="L18" s="21" t="n">
        <x:v>1</x:v>
      </x:c>
      <x:c r="M18" s="21" t="n">
        <x:v>0</x:v>
      </x:c>
    </x:row>
    <x:row r="19">
      <x:c r="A19" s="21" t="str">
        <x:v>PROV-006</x:v>
      </x:c>
      <x:c r="B19" s="21" t="str">
        <x:v>给住在清华学生社区的同学寄快递时，邮寄地址和邮编在哪里查？</x:v>
      </x:c>
      <x:c r="C19" s="21" t="str">
        <x:v>住宿服务</x:v>
      </x:c>
      <x:c r="D19" s="21" t="str">
        <x:v>NONCOMPLIANT</x:v>
      </x:c>
      <x:c r="E19" s="21" t="str">
        <x:v>NONCOMPLIANT</x:v>
      </x:c>
      <x:c r="F19" s="21" t="n">
        <x:v>2</x:v>
      </x:c>
      <x:c r="G19" s="21" t="n">
        <x:v>2</x:v>
      </x:c>
      <x:c r="H19" s="21" t="n">
        <x:v>0</x:v>
      </x:c>
      <x:c r="I19" s="21" t="n">
        <x:v>0</x:v>
      </x:c>
      <x:c r="J19" s="21" t="n">
        <x:v>2</x:v>
      </x:c>
      <x:c r="K19" s="21" t="n">
        <x:v>0</x:v>
      </x:c>
      <x:c r="L19" s="21" t="n">
        <x:v>1</x:v>
      </x:c>
      <x:c r="M19" s="21" t="n">
        <x:v>0</x:v>
      </x:c>
    </x:row>
    <x:row r="20">
      <x:c r="A20" s="21" t="str">
        <x:v>PROV-007</x:v>
      </x:c>
      <x:c r="B20" s="21" t="str">
        <x:v>负责清华校内食堂和餐饮保障的是哪个饮食服务部门？</x:v>
      </x:c>
      <x:c r="C20" s="21" t="str">
        <x:v>餐饮服务</x:v>
      </x:c>
      <x:c r="D20" s="21" t="str">
        <x:v>NONCOMPLIANT</x:v>
      </x:c>
      <x:c r="E20" s="21" t="str">
        <x:v>NONCOMPLIANT</x:v>
      </x:c>
      <x:c r="F20" s="21" t="n">
        <x:v>1</x:v>
      </x:c>
      <x:c r="G20" s="21" t="n">
        <x:v>1</x:v>
      </x:c>
      <x:c r="H20" s="21" t="n">
        <x:v>0</x:v>
      </x:c>
      <x:c r="I20" s="21" t="n">
        <x:v>0</x:v>
      </x:c>
      <x:c r="J20" s="21" t="n">
        <x:v>1</x:v>
      </x:c>
      <x:c r="K20" s="21" t="n">
        <x:v>0</x:v>
      </x:c>
      <x:c r="L20" s="21" t="n">
        <x:v>1</x:v>
      </x:c>
      <x:c r="M20" s="21" t="n">
        <x:v>0</x:v>
      </x:c>
    </x:row>
    <x:row r="21">
      <x:c r="A21" s="21" t="str">
        <x:v>PROV-008</x:v>
      </x:c>
      <x:c r="B21" s="21" t="str">
        <x:v>教职工想查询校内教工餐厅信息，应查看哪份校园服务资料？</x:v>
      </x:c>
      <x:c r="C21" s="21" t="str">
        <x:v>餐饮服务</x:v>
      </x:c>
      <x:c r="D21" s="21" t="str">
        <x:v>NONCOMPLIANT</x:v>
      </x:c>
      <x:c r="E21" s="21" t="str">
        <x:v>NONCOMPLIANT</x:v>
      </x:c>
      <x:c r="F21" s="21" t="n">
        <x:v>1</x:v>
      </x:c>
      <x:c r="G21" s="21" t="n">
        <x:v>1</x:v>
      </x:c>
      <x:c r="H21" s="21" t="n">
        <x:v>0</x:v>
      </x:c>
      <x:c r="I21" s="21" t="n">
        <x:v>0</x:v>
      </x:c>
      <x:c r="J21" s="21" t="n">
        <x:v>1</x:v>
      </x:c>
      <x:c r="K21" s="21" t="n">
        <x:v>0</x:v>
      </x:c>
      <x:c r="L21" s="21" t="n">
        <x:v>1</x:v>
      </x:c>
      <x:c r="M21" s="21" t="n">
        <x:v>0</x:v>
      </x:c>
    </x:row>
    <x:row r="22">
      <x:c r="A22" s="21" t="str">
        <x:v>PROV-009</x:v>
      </x:c>
      <x:c r="B22" s="21" t="str">
        <x:v>清华校车线路、班次和校园出入口交通指引在哪里查？</x:v>
      </x:c>
      <x:c r="C22" s="21" t="str">
        <x:v>交通服务</x:v>
      </x:c>
      <x:c r="D22" s="21" t="str">
        <x:v>NONCOMPLIANT</x:v>
      </x:c>
      <x:c r="E22" s="21" t="str">
        <x:v>NONCOMPLIANT</x:v>
      </x:c>
      <x:c r="F22" s="21" t="n">
        <x:v>1</x:v>
      </x:c>
      <x:c r="G22" s="21" t="n">
        <x:v>1</x:v>
      </x:c>
      <x:c r="H22" s="21" t="n">
        <x:v>0</x:v>
      </x:c>
      <x:c r="I22" s="21" t="n">
        <x:v>0</x:v>
      </x:c>
      <x:c r="J22" s="21" t="n">
        <x:v>1</x:v>
      </x:c>
      <x:c r="K22" s="21" t="n">
        <x:v>0</x:v>
      </x:c>
      <x:c r="L22" s="21" t="n">
        <x:v>1</x:v>
      </x:c>
      <x:c r="M22" s="21" t="n">
        <x:v>1</x:v>
      </x:c>
    </x:row>
    <x:row r="23">
      <x:c r="A23" s="21" t="str">
        <x:v>PROV-010</x:v>
      </x:c>
      <x:c r="B23" s="21" t="str">
        <x:v>在清华办理生育医疗费用报销需要查看什么程序？</x:v>
      </x:c>
      <x:c r="C23" s="21" t="str">
        <x:v>医疗健康</x:v>
      </x:c>
      <x:c r="D23" s="21" t="str">
        <x:v>NONCOMPLIANT</x:v>
      </x:c>
      <x:c r="E23" s="21" t="str">
        <x:v>NONCOMPLIANT</x:v>
      </x:c>
      <x:c r="F23" s="21" t="n">
        <x:v>6</x:v>
      </x:c>
      <x:c r="G23" s="21" t="n">
        <x:v>6</x:v>
      </x:c>
      <x:c r="H23" s="21" t="n">
        <x:v>2</x:v>
      </x:c>
      <x:c r="I23" s="21" t="n">
        <x:v>0</x:v>
      </x:c>
      <x:c r="J23" s="21" t="n">
        <x:v>4</x:v>
      </x:c>
      <x:c r="K23" s="21" t="n">
        <x:v>2</x:v>
      </x:c>
      <x:c r="L23" s="21" t="n">
        <x:v>1</x:v>
      </x:c>
      <x:c r="M23" s="21" t="n">
        <x:v>0</x:v>
      </x:c>
    </x:row>
    <x:row r="24">
      <x:c r="A24" s="21" t="str">
        <x:v>PROV-011</x:v>
      </x:c>
      <x:c r="B24" s="21" t="str">
        <x:v>清华大学医院能否通过北京114平台预约挂号？</x:v>
      </x:c>
      <x:c r="C24" s="21" t="str">
        <x:v>医疗健康</x:v>
      </x:c>
      <x:c r="D24" s="21" t="str">
        <x:v>COMPLIANT</x:v>
      </x:c>
      <x:c r="E24" s="21" t="str">
        <x:v>NONCOMPLIANT</x:v>
      </x:c>
      <x:c r="F24" s="21" t="n">
        <x:v>1</x:v>
      </x:c>
      <x:c r="G24" s="21" t="n">
        <x:v>1</x:v>
      </x:c>
      <x:c r="H24" s="21" t="n">
        <x:v>0</x:v>
      </x:c>
      <x:c r="I24" s="21" t="n">
        <x:v>0</x:v>
      </x:c>
      <x:c r="J24" s="21" t="n">
        <x:v>1</x:v>
      </x:c>
      <x:c r="K24" s="21" t="n">
        <x:v>0</x:v>
      </x:c>
      <x:c r="L24" s="21" t="n">
        <x:v>1</x:v>
      </x:c>
      <x:c r="M24" s="21" t="n">
        <x:v>0</x:v>
      </x:c>
    </x:row>
    <x:row r="25">
      <x:c r="A25" s="21" t="str">
        <x:v>PROV-012</x:v>
      </x:c>
      <x:c r="B25" s="21" t="str">
        <x:v>校园网络运行和基础网络服务的信息由哪份资料说明？</x:v>
      </x:c>
      <x:c r="C25" s="21" t="str">
        <x:v>网络与信息化</x:v>
      </x:c>
      <x:c r="D25" s="21" t="str">
        <x:v>COMPLIANT</x:v>
      </x:c>
      <x:c r="E25" s="21" t="str">
        <x:v>COMPLIANT</x:v>
      </x:c>
      <x:c r="F25" s="21" t="n">
        <x:v>1</x:v>
      </x:c>
      <x:c r="G25" s="21" t="n">
        <x:v>1</x:v>
      </x:c>
      <x:c r="H25" s="21" t="n">
        <x:v>0</x:v>
      </x:c>
      <x:c r="I25" s="21" t="n">
        <x:v>1</x:v>
      </x:c>
      <x:c r="J25" s="21" t="n">
        <x:v>0</x:v>
      </x:c>
      <x:c r="K25" s="21" t="n">
        <x:v>1</x:v>
      </x:c>
      <x:c r="L25" s="21" t="n">
        <x:v>1</x:v>
      </x:c>
      <x:c r="M25" s="21" t="n">
        <x:v>0</x:v>
      </x:c>
    </x:row>
    <x:row r="26">
      <x:c r="A26" s="21" t="str">
        <x:v>PROV-013</x:v>
      </x:c>
      <x:c r="B26" s="21" t="str">
        <x:v>遇到学校信息化账号或网络使用问题时，应到哪里寻找用户服务？</x:v>
      </x:c>
      <x:c r="C26" s="21" t="str">
        <x:v>网络与信息化</x:v>
      </x:c>
      <x:c r="D26" s="21" t="str">
        <x:v>NONCOMPLIANT</x:v>
      </x:c>
      <x:c r="E26" s="21" t="str">
        <x:v>NONCOMPLIANT</x:v>
      </x:c>
      <x:c r="F26" s="21" t="n">
        <x:v>2</x:v>
      </x:c>
      <x:c r="G26" s="21" t="n">
        <x:v>2</x:v>
      </x:c>
      <x:c r="H26" s="21" t="n">
        <x:v>0</x:v>
      </x:c>
      <x:c r="I26" s="21" t="n">
        <x:v>0</x:v>
      </x:c>
      <x:c r="J26" s="21" t="n">
        <x:v>2</x:v>
      </x:c>
      <x:c r="K26" s="21" t="n">
        <x:v>0</x:v>
      </x:c>
      <x:c r="L26" s="21" t="n">
        <x:v>1</x:v>
      </x:c>
      <x:c r="M26" s="21" t="n">
        <x:v>0</x:v>
      </x:c>
    </x:row>
    <x:row r="27">
      <x:c r="A27" s="21" t="str">
        <x:v>PROV-014</x:v>
      </x:c>
      <x:c r="B27" s="21" t="str">
        <x:v>清华图书馆图书借还的规则和操作说明在哪里？</x:v>
      </x:c>
      <x:c r="C27" s="21" t="str">
        <x:v>图书馆服务</x:v>
      </x:c>
      <x:c r="D27" s="21" t="str">
        <x:v>NONCOMPLIANT</x:v>
      </x:c>
      <x:c r="E27" s="21" t="str">
        <x:v>NONCOMPLIANT</x:v>
      </x:c>
      <x:c r="F27" s="21" t="n">
        <x:v>1</x:v>
      </x:c>
      <x:c r="G27" s="21" t="n">
        <x:v>1</x:v>
      </x:c>
      <x:c r="H27" s="21" t="n">
        <x:v>0</x:v>
      </x:c>
      <x:c r="I27" s="21" t="n">
        <x:v>0</x:v>
      </x:c>
      <x:c r="J27" s="21" t="n">
        <x:v>1</x:v>
      </x:c>
      <x:c r="K27" s="21" t="n">
        <x:v>0</x:v>
      </x:c>
      <x:c r="L27" s="21" t="n">
        <x:v>1</x:v>
      </x:c>
      <x:c r="M27" s="21" t="n">
        <x:v>0</x:v>
      </x:c>
    </x:row>
    <x:row r="28">
      <x:c r="A28" s="21" t="str">
        <x:v>PROV-015</x:v>
      </x:c>
      <x:c r="B28" s="21" t="str">
        <x:v>进入清华大学图书馆需要遵守什么入馆管理办法？</x:v>
      </x:c>
      <x:c r="C28" s="21" t="str">
        <x:v>图书馆服务</x:v>
      </x:c>
      <x:c r="D28" s="21" t="str">
        <x:v>NONCOMPLIANT</x:v>
      </x:c>
      <x:c r="E28" s="21" t="str">
        <x:v>NONCOMPLIANT</x:v>
      </x:c>
      <x:c r="F28" s="21" t="n">
        <x:v>9</x:v>
      </x:c>
      <x:c r="G28" s="21" t="n">
        <x:v>9</x:v>
      </x:c>
      <x:c r="H28" s="21" t="n">
        <x:v>4</x:v>
      </x:c>
      <x:c r="I28" s="21" t="n">
        <x:v>3</x:v>
      </x:c>
      <x:c r="J28" s="21" t="n">
        <x:v>2</x:v>
      </x:c>
      <x:c r="K28" s="21" t="n">
        <x:v>7</x:v>
      </x:c>
      <x:c r="L28" s="21" t="n">
        <x:v>1</x:v>
      </x:c>
      <x:c r="M28" s="21" t="n">
        <x:v>0</x:v>
      </x:c>
    </x:row>
    <x:row r="29">
      <x:c r="A29" s="21" t="str">
        <x:v>PROV-016</x:v>
      </x:c>
      <x:c r="B29" s="21" t="str">
        <x:v>清华师生如何使用馆际互借服务获取外馆文献？</x:v>
      </x:c>
      <x:c r="C29" s="21" t="str">
        <x:v>图书馆服务</x:v>
      </x:c>
      <x:c r="D29" s="21" t="str">
        <x:v>NONCOMPLIANT</x:v>
      </x:c>
      <x:c r="E29" s="21" t="str">
        <x:v>NONCOMPLIANT</x:v>
      </x:c>
      <x:c r="F29" s="21" t="n">
        <x:v>1</x:v>
      </x:c>
      <x:c r="G29" s="21" t="n">
        <x:v>1</x:v>
      </x:c>
      <x:c r="H29" s="21" t="n">
        <x:v>0</x:v>
      </x:c>
      <x:c r="I29" s="21" t="n">
        <x:v>0</x:v>
      </x:c>
      <x:c r="J29" s="21" t="n">
        <x:v>1</x:v>
      </x:c>
      <x:c r="K29" s="21" t="n">
        <x:v>0</x:v>
      </x:c>
      <x:c r="L29" s="21" t="n">
        <x:v>1</x:v>
      </x:c>
      <x:c r="M29" s="21" t="n">
        <x:v>0</x:v>
      </x:c>
    </x:row>
    <x:row r="30">
      <x:c r="A30" s="21" t="str">
        <x:v>PROV-017</x:v>
      </x:c>
      <x:c r="B30" s="21" t="str">
        <x:v>综合体育馆的建筑面积、观众席位和赛事用途是什么？</x:v>
      </x:c>
      <x:c r="C30" s="21" t="str">
        <x:v>体育与场馆</x:v>
      </x:c>
      <x:c r="D30" s="21" t="str">
        <x:v>NONCOMPLIANT</x:v>
      </x:c>
      <x:c r="E30" s="21" t="str">
        <x:v>NONCOMPLIANT</x:v>
      </x:c>
      <x:c r="F30" s="21" t="n">
        <x:v>3</x:v>
      </x:c>
      <x:c r="G30" s="21" t="n">
        <x:v>3</x:v>
      </x:c>
      <x:c r="H30" s="21" t="n">
        <x:v>2</x:v>
      </x:c>
      <x:c r="I30" s="21" t="n">
        <x:v>0</x:v>
      </x:c>
      <x:c r="J30" s="21" t="n">
        <x:v>1</x:v>
      </x:c>
      <x:c r="K30" s="21" t="n">
        <x:v>2</x:v>
      </x:c>
      <x:c r="L30" s="21" t="n">
        <x:v>1</x:v>
      </x:c>
      <x:c r="M30" s="21" t="n">
        <x:v>0</x:v>
      </x:c>
    </x:row>
    <x:row r="31">
      <x:c r="A31" s="21" t="str">
        <x:v>PROV-018</x:v>
      </x:c>
      <x:c r="B31" s="21" t="str">
        <x:v>清华大学特等奖学金采用什么评选办法？</x:v>
      </x:c>
      <x:c r="C31" s="21" t="str">
        <x:v>奖助与资助</x:v>
      </x:c>
      <x:c r="D31" s="21" t="str">
        <x:v>NONCOMPLIANT</x:v>
      </x:c>
      <x:c r="E31" s="21" t="str">
        <x:v>COMPLIANT</x:v>
      </x:c>
      <x:c r="F31" s="21" t="n">
        <x:v>4</x:v>
      </x:c>
      <x:c r="G31" s="21" t="n">
        <x:v>3</x:v>
      </x:c>
      <x:c r="H31" s="21" t="n">
        <x:v>3</x:v>
      </x:c>
      <x:c r="I31" s="21" t="n">
        <x:v>0</x:v>
      </x:c>
      <x:c r="J31" s="21" t="n">
        <x:v>0</x:v>
      </x:c>
      <x:c r="K31" s="21" t="n">
        <x:v>3</x:v>
      </x:c>
      <x:c r="L31" s="21" t="n">
        <x:v>1</x:v>
      </x:c>
      <x:c r="M31" s="21" t="n">
        <x:v>0</x:v>
      </x:c>
    </x:row>
    <x:row r="32">
      <x:c r="A32" s="21" t="str">
        <x:v>PROV-019</x:v>
      </x:c>
      <x:c r="B32" s="21" t="str">
        <x:v>国家助学贷款发放后，学生应遵守哪些贷后管理规定？</x:v>
      </x:c>
      <x:c r="C32" s="21" t="str">
        <x:v>奖助与资助</x:v>
      </x:c>
      <x:c r="D32" s="21" t="str">
        <x:v>NONCOMPLIANT</x:v>
      </x:c>
      <x:c r="E32" s="21" t="str">
        <x:v>NONCOMPLIANT</x:v>
      </x:c>
      <x:c r="F32" s="21" t="n">
        <x:v>8</x:v>
      </x:c>
      <x:c r="G32" s="21" t="n">
        <x:v>6</x:v>
      </x:c>
      <x:c r="H32" s="21" t="n">
        <x:v>2</x:v>
      </x:c>
      <x:c r="I32" s="21" t="n">
        <x:v>1</x:v>
      </x:c>
      <x:c r="J32" s="21" t="n">
        <x:v>3</x:v>
      </x:c>
      <x:c r="K32" s="21" t="n">
        <x:v>3</x:v>
      </x:c>
      <x:c r="L32" s="21" t="n">
        <x:v>1</x:v>
      </x:c>
      <x:c r="M32" s="21" t="n">
        <x:v>0</x:v>
      </x:c>
    </x:row>
    <x:row r="33">
      <x:c r="A33" s="21" t="str">
        <x:v>PROV-020</x:v>
      </x:c>
      <x:c r="B33" s="21" t="str">
        <x:v>国际学生如何区分并查询不同的签证类型？</x:v>
      </x:c>
      <x:c r="C33" s="21" t="str">
        <x:v>国际事务与签证</x:v>
      </x:c>
      <x:c r="D33" s="21" t="str">
        <x:v>NONCOMPLIANT</x:v>
      </x:c>
      <x:c r="E33" s="21" t="str">
        <x:v>NONCOMPLIANT</x:v>
      </x:c>
      <x:c r="F33" s="21" t="n">
        <x:v>3</x:v>
      </x:c>
      <x:c r="G33" s="21" t="n">
        <x:v>3</x:v>
      </x:c>
      <x:c r="H33" s="21" t="n">
        <x:v>1</x:v>
      </x:c>
      <x:c r="I33" s="21" t="n">
        <x:v>0</x:v>
      </x:c>
      <x:c r="J33" s="21" t="n">
        <x:v>2</x:v>
      </x:c>
      <x:c r="K33" s="21" t="n">
        <x:v>1</x:v>
      </x:c>
      <x:c r="L33" s="21" t="n">
        <x:v>1</x:v>
      </x:c>
      <x:c r="M33" s="21" t="n">
        <x:v>0</x:v>
      </x:c>
    </x:row>
    <x:row r="34">
      <x:c r="A34" s="21" t="str">
        <x:v>PROV-021</x:v>
      </x:c>
      <x:c r="B34" s="21" t="str">
        <x:v>国际学生选择校外住宿时应查看什么住宿指南？</x:v>
      </x:c>
      <x:c r="C34" s="21" t="str">
        <x:v>国际事务与签证</x:v>
      </x:c>
      <x:c r="D34" s="21" t="str">
        <x:v>COMPLIANT</x:v>
      </x:c>
      <x:c r="E34" s="21" t="str">
        <x:v>COMPLIANT</x:v>
      </x:c>
      <x:c r="F34" s="21" t="n">
        <x:v>1</x:v>
      </x:c>
      <x:c r="G34" s="21" t="n">
        <x:v>0</x:v>
      </x:c>
      <x:c r="H34" s="21" t="n">
        <x:v>0</x:v>
      </x:c>
      <x:c r="I34" s="21" t="n">
        <x:v>0</x:v>
      </x:c>
      <x:c r="J34" s="21" t="n">
        <x:v>0</x:v>
      </x:c>
      <x:c r="K34" s="21" t="n">
        <x:v>0</x:v>
      </x:c>
      <x:c r="L34" s="21" t="n">
        <x:v>1</x:v>
      </x:c>
      <x:c r="M34" s="21" t="n">
        <x:v>0</x:v>
      </x:c>
    </x:row>
    <x:row r="35">
      <x:c r="A35" s="21" t="str">
        <x:v>PROV-022</x:v>
      </x:c>
      <x:c r="B35" s="21" t="str">
        <x:v>学生职业发展指导中心面向学生提供哪些就业服务？</x:v>
      </x:c>
      <x:c r="C35" s="21" t="str">
        <x:v>就业与职业发展</x:v>
      </x:c>
      <x:c r="D35" s="21" t="str">
        <x:v>COMPLIANT</x:v>
      </x:c>
      <x:c r="E35" s="21" t="str">
        <x:v>COMPLIANT</x:v>
      </x:c>
      <x:c r="F35" s="21" t="n">
        <x:v>1</x:v>
      </x:c>
      <x:c r="G35" s="21" t="n">
        <x:v>1</x:v>
      </x:c>
      <x:c r="H35" s="21" t="n">
        <x:v>0</x:v>
      </x:c>
      <x:c r="I35" s="21" t="n">
        <x:v>1</x:v>
      </x:c>
      <x:c r="J35" s="21" t="n">
        <x:v>0</x:v>
      </x:c>
      <x:c r="K35" s="21" t="n">
        <x:v>1</x:v>
      </x:c>
      <x:c r="L35" s="21" t="n">
        <x:v>1</x:v>
      </x:c>
      <x:c r="M35" s="21" t="n">
        <x:v>0</x:v>
      </x:c>
    </x:row>
    <x:row r="36">
      <x:c r="A36" s="21" t="str">
        <x:v>PROV-023</x:v>
      </x:c>
      <x:c r="B36" s="21" t="str">
        <x:v>学生想进行一对一生涯咨询、简历修改或模拟面试，可以找什么服务？</x:v>
      </x:c>
      <x:c r="C36" s="21" t="str">
        <x:v>就业与职业发展</x:v>
      </x:c>
      <x:c r="D36" s="21" t="str">
        <x:v>NONCOMPLIANT</x:v>
      </x:c>
      <x:c r="E36" s="21" t="str">
        <x:v>NONCOMPLIANT</x:v>
      </x:c>
      <x:c r="F36" s="21" t="n">
        <x:v>4</x:v>
      </x:c>
      <x:c r="G36" s="21" t="n">
        <x:v>3</x:v>
      </x:c>
      <x:c r="H36" s="21" t="n">
        <x:v>0</x:v>
      </x:c>
      <x:c r="I36" s="21" t="n">
        <x:v>0</x:v>
      </x:c>
      <x:c r="J36" s="21" t="n">
        <x:v>3</x:v>
      </x:c>
      <x:c r="K36" s="21" t="n">
        <x:v>0</x:v>
      </x:c>
      <x:c r="L36" s="21" t="n">
        <x:v>1</x:v>
      </x:c>
      <x:c r="M36" s="21" t="n">
        <x:v>0</x:v>
      </x:c>
    </x:row>
    <x:row r="37">
      <x:c r="A37" s="21" t="str">
        <x:v>PROV-024</x:v>
      </x:c>
      <x:c r="B37" s="21" t="str">
        <x:v>清华科研仪器共享平台能否查询开放设备并预约测试？</x:v>
      </x:c>
      <x:c r="C37" s="21" t="str">
        <x:v>科研参与</x:v>
      </x:c>
      <x:c r="D37" s="21" t="str">
        <x:v>NONCOMPLIANT</x:v>
      </x:c>
      <x:c r="E37" s="21" t="str">
        <x:v>NONCOMPLIANT</x:v>
      </x:c>
      <x:c r="F37" s="21" t="n">
        <x:v>1</x:v>
      </x:c>
      <x:c r="G37" s="21" t="n">
        <x:v>1</x:v>
      </x:c>
      <x:c r="H37" s="21" t="n">
        <x:v>0</x:v>
      </x:c>
      <x:c r="I37" s="21" t="n">
        <x:v>0</x:v>
      </x:c>
      <x:c r="J37" s="21" t="n">
        <x:v>1</x:v>
      </x:c>
      <x:c r="K37" s="21" t="n">
        <x:v>0</x:v>
      </x:c>
      <x:c r="L37" s="21" t="n">
        <x:v>1</x:v>
      </x:c>
      <x:c r="M37" s="21" t="n">
        <x:v>0</x:v>
      </x:c>
    </x:row>
    <x:row r="38">
      <x:c r="A38" s="21" t="str">
        <x:v>PROV-025</x:v>
      </x:c>
      <x:c r="B38" s="21" t="str">
        <x:v>清华通讯作者在IEEE开放获取期刊发表论文有何APC优惠？</x:v>
      </x:c>
      <x:c r="C38" s="21" t="str">
        <x:v>科研参与</x:v>
      </x:c>
      <x:c r="D38" s="21" t="str">
        <x:v>NONCOMPLIANT</x:v>
      </x:c>
      <x:c r="E38" s="21" t="str">
        <x:v>NONCOMPLIANT</x:v>
      </x:c>
      <x:c r="F38" s="21" t="n">
        <x:v>4</x:v>
      </x:c>
      <x:c r="G38" s="21" t="n">
        <x:v>4</x:v>
      </x:c>
      <x:c r="H38" s="21" t="n">
        <x:v>1</x:v>
      </x:c>
      <x:c r="I38" s="21" t="n">
        <x:v>2</x:v>
      </x:c>
      <x:c r="J38" s="21" t="n">
        <x:v>1</x:v>
      </x:c>
      <x:c r="K38" s="21" t="n">
        <x:v>3</x:v>
      </x:c>
      <x:c r="L38" s="21" t="n">
        <x:v>1</x:v>
      </x:c>
      <x:c r="M38" s="21" t="n">
        <x:v>0</x:v>
      </x:c>
    </x:row>
    <x:row r="39">
      <x:c r="A39" s="21" t="str">
        <x:v>PROV-026</x:v>
      </x:c>
      <x:c r="B39" s="21" t="str">
        <x:v>学校的信息化教室、录播系统和教学技术支持由什么服务负责？</x:v>
      </x:c>
      <x:c r="C39" s="21" t="str">
        <x:v>教学培养</x:v>
      </x:c>
      <x:c r="D39" s="21" t="str">
        <x:v>COMPLIANT</x:v>
      </x:c>
      <x:c r="E39" s="21" t="str">
        <x:v>COMPLIANT</x:v>
      </x:c>
      <x:c r="F39" s="21" t="n">
        <x:v>1</x:v>
      </x:c>
      <x:c r="G39" s="21" t="n">
        <x:v>1</x:v>
      </x:c>
      <x:c r="H39" s="21" t="n">
        <x:v>1</x:v>
      </x:c>
      <x:c r="I39" s="21" t="n">
        <x:v>0</x:v>
      </x:c>
      <x:c r="J39" s="21" t="n">
        <x:v>0</x:v>
      </x:c>
      <x:c r="K39" s="21" t="n">
        <x:v>1</x:v>
      </x:c>
      <x:c r="L39" s="21" t="n">
        <x:v>1</x:v>
      </x:c>
      <x:c r="M39" s="21" t="n">
        <x:v>0</x:v>
      </x:c>
    </x:row>
    <x:row r="40">
      <x:c r="A40" s="21" t="str">
        <x:v>PROV-027</x:v>
      </x:c>
      <x:c r="B40" s="21" t="str">
        <x:v>清华专业学位人才培养项目采用什么建设定位？</x:v>
      </x:c>
      <x:c r="C40" s="21" t="str">
        <x:v>教学培养</x:v>
      </x:c>
      <x:c r="D40" s="21" t="str">
        <x:v>COMPLIANT</x:v>
      </x:c>
      <x:c r="E40" s="21" t="str">
        <x:v>NONCOMPLIANT</x:v>
      </x:c>
      <x:c r="F40" s="21" t="n">
        <x:v>1</x:v>
      </x:c>
      <x:c r="G40" s="21" t="n">
        <x:v>1</x:v>
      </x:c>
      <x:c r="H40" s="21" t="n">
        <x:v>0</x:v>
      </x:c>
      <x:c r="I40" s="21" t="n">
        <x:v>0</x:v>
      </x:c>
      <x:c r="J40" s="21" t="n">
        <x:v>1</x:v>
      </x:c>
      <x:c r="K40" s="21" t="n">
        <x:v>0</x:v>
      </x:c>
      <x:c r="L40" s="21" t="n">
        <x:v>1</x:v>
      </x:c>
      <x:c r="M40" s="21" t="n">
        <x:v>0</x:v>
      </x:c>
    </x:row>
    <x:row r="41">
      <x:c r="A41" s="21" t="str">
        <x:v>PROV-028</x:v>
      </x:c>
      <x:c r="B41" s="21" t="str">
        <x:v>如何查询清华各院系的单位号、简称和英文名称？</x:v>
      </x:c>
      <x:c r="C41" s="21" t="str">
        <x:v>校园综合服务</x:v>
      </x:c>
      <x:c r="D41" s="21" t="str">
        <x:v>NONCOMPLIANT</x:v>
      </x:c>
      <x:c r="E41" s="21" t="str">
        <x:v>NONCOMPLIANT</x:v>
      </x:c>
      <x:c r="F41" s="21" t="n">
        <x:v>12</x:v>
      </x:c>
      <x:c r="G41" s="21" t="n">
        <x:v>12</x:v>
      </x:c>
      <x:c r="H41" s="21" t="n">
        <x:v>9</x:v>
      </x:c>
      <x:c r="I41" s="21" t="n">
        <x:v>1</x:v>
      </x:c>
      <x:c r="J41" s="21" t="n">
        <x:v>2</x:v>
      </x:c>
      <x:c r="K41" s="21" t="n">
        <x:v>10</x:v>
      </x:c>
      <x:c r="L41" s="21" t="n">
        <x:v>1</x:v>
      </x:c>
      <x:c r="M41" s="21" t="n">
        <x:v>0</x:v>
      </x:c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5119805561ce497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>
      <x:c r="A1" s="11" t="str">
        <x:v>Ablation: V1 → V2-A → V2-B → V2-C</x:v>
      </x:c>
      <x:c r="B1" s="11"/>
      <x:c r="C1" s="11"/>
      <x:c r="D1" s="11"/>
      <x:c r="E1" s="11"/>
      <x:c r="F1" s="11"/>
    </x:row>
    <x:row r="3">
      <x:c r="A3" s="7" t="str">
        <x:v>Version</x:v>
      </x:c>
      <x:c r="B3" s="7" t="str">
        <x:v>Coverage</x:v>
      </x:c>
      <x:c r="C3" s="7" t="str">
        <x:v>Supported</x:v>
      </x:c>
      <x:c r="D3" s="7" t="str">
        <x:v>Partial</x:v>
      </x:c>
      <x:c r="E3" s="7" t="str">
        <x:v>Unsupported</x:v>
      </x:c>
      <x:c r="F3" s="7" t="str">
        <x:v>Interpretation</x:v>
      </x:c>
    </x:row>
    <x:row r="4">
      <x:c r="A4" t="str">
        <x:v>V1</x:v>
      </x:c>
      <x:c r="B4" s="10" t="n">
        <x:v>0.11538461538461539</x:v>
      </x:c>
      <x:c r="C4" t="n">
        <x:v>5</x:v>
      </x:c>
      <x:c r="D4" t="n">
        <x:v>7</x:v>
      </x:c>
      <x:c r="E4" t="n">
        <x:v>92</x:v>
      </x:c>
      <x:c r="F4" t="str">
        <x:v>whole-chunk baseline</x:v>
      </x:c>
    </x:row>
    <x:row r="5">
      <x:c r="A5" t="str">
        <x:v>V2-A</x:v>
      </x:c>
      <x:c r="B5" s="10" t="n">
        <x:v>0.49038461538461536</x:v>
      </x:c>
      <x:c r="C5" t="n">
        <x:v>34</x:v>
      </x:c>
      <x:c r="D5" t="n">
        <x:v>17</x:v>
      </x:c>
      <x:c r="E5" t="n">
        <x:v>53</x:v>
      </x:c>
      <x:c r="F5" t="str">
        <x:v>span extraction contribution</x:v>
      </x:c>
    </x:row>
    <x:row r="6">
      <x:c r="A6" t="str">
        <x:v>V2-B</x:v>
      </x:c>
      <x:c r="B6" s="10" t="n">
        <x:v>0.5288461538461539</x:v>
      </x:c>
      <x:c r="C6" t="n">
        <x:v>38</x:v>
      </x:c>
      <x:c r="D6" t="n">
        <x:v>17</x:v>
      </x:c>
      <x:c r="E6" t="n">
        <x:v>49</x:v>
      </x:c>
      <x:c r="F6" t="str">
        <x:v>normalization contribution</x:v>
      </x:c>
    </x:row>
    <x:row r="7">
      <x:c r="A7" t="str">
        <x:v>V2-C</x:v>
      </x:c>
      <x:c r="B7" s="10" t="n">
        <x:v>0.5192307692307693</x:v>
      </x:c>
      <x:c r="C7" t="n">
        <x:v>37</x:v>
      </x:c>
      <x:c r="D7" t="n">
        <x:v>17</x:v>
      </x:c>
      <x:c r="E7" t="n">
        <x:v>50</x:v>
      </x:c>
      <x:c r="F7" t="str">
        <x:v>cross-encoder relevance gate + safety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</x:cols>
  <x:sheetData>
    <x:row r="1">
      <x:c r="A1" s="7" t="str">
        <x:v>metric</x:v>
      </x:c>
      <x:c r="B1" s="7" t="str">
        <x:v>V1</x:v>
      </x:c>
      <x:c r="C1" s="7" t="str">
        <x:v>V2-C</x:v>
      </x:c>
      <x:c r="D1" s="7"/>
      <x:c r="E1" s="7" t="str">
        <x:v>reclassification</x:v>
      </x:c>
      <x:c r="F1" s="7" t="str">
        <x:v>count</x:v>
      </x:c>
    </x:row>
    <x:row r="2">
      <x:c r="A2" t="str">
        <x:v>Claim Citation Coverage</x:v>
      </x:c>
      <x:c r="B2" s="10" t="n">
        <x:v>0.11538461538461539</x:v>
      </x:c>
      <x:c r="C2" s="10" t="n">
        <x:v>0.5192307692307693</x:v>
      </x:c>
      <x:c r="E2" t="str">
        <x:v>V1_MAPPING_FAILURE</x:v>
      </x:c>
      <x:c r="F2" t="n">
        <x:v>32</x:v>
      </x:c>
    </x:row>
    <x:row r="3">
      <x:c r="A3" t="str">
        <x:v>Citation Precision Proxy</x:v>
      </x:c>
      <x:c r="B3" s="10" t="n">
        <x:v>1</x:v>
      </x:c>
      <x:c r="C3" s="10" t="n">
        <x:v>1</x:v>
      </x:c>
      <x:c r="E3" t="str">
        <x:v>TOP5_EVIDENCE_PARTIAL</x:v>
      </x:c>
      <x:c r="F3" t="n">
        <x:v>14</x:v>
      </x:c>
    </x:row>
    <x:row r="4">
      <x:c r="A4" t="str">
        <x:v>Answer Citation Compliance</x:v>
      </x:c>
      <x:c r="B4" s="10" t="n">
        <x:v>0.21052631578947367</x:v>
      </x:c>
      <x:c r="C4" s="10" t="n">
        <x:v>0.21052631578947367</x:v>
      </x:c>
      <x:c r="E4" t="str">
        <x:v>RETRIEVAL_FAILURE</x:v>
      </x:c>
      <x:c r="F4" t="n">
        <x:v>0</x:v>
      </x:c>
    </x:row>
    <x:row r="5">
      <x:c r="A5" t="str">
        <x:v>Answer Preservation</x:v>
      </x:c>
      <x:c r="B5" s="10" t="n">
        <x:v>1</x:v>
      </x:c>
      <x:c r="C5" s="10" t="n">
        <x:v>1</x:v>
      </x:c>
      <x:c r="E5" t="str">
        <x:v>SOURCE_QUALITY_FAILURE</x:v>
      </x:c>
      <x:c r="F5" t="n">
        <x:v>1</x:v>
      </x:c>
    </x:row>
    <x:row r="6">
      <x:c r="A6" t="str">
        <x:v>Assignments</x:v>
      </x:c>
      <x:c r="B6" t="n">
        <x:v>12</x:v>
      </x:c>
      <x:c r="C6" t="n">
        <x:v>55</x:v>
      </x:c>
      <x:c r="E6" t="str">
        <x:v>GENERATION_HALLUCINATION</x:v>
      </x:c>
      <x:c r="F6" t="n">
        <x:v>2</x:v>
      </x:c>
    </x:row>
    <x:row r="7">
      <x:c r="A7" t="str">
        <x:v>Human-validated precision</x:v>
      </x:c>
      <x:c r="B7" t="str">
        <x:v>N/A</x:v>
      </x:c>
      <x:c r="C7" t="str">
        <x:v>N/A</x:v>
      </x:c>
      <x:c r="E7" t="str">
        <x:v>AMBIGUOUS</x:v>
      </x:c>
      <x:c r="F7" t="n">
        <x:v>43</x:v>
      </x:c>
    </x:row>
  </x:sheetData>
  <x:pageMargins left="0.7" right="0.7" top="0.75" bottom="0.75" header="0.3" footer="0.3"/>
</x:worksheet>
</file>