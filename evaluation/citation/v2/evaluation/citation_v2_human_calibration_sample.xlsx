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c7820e6dc54c71" /></Relationships>
</file>

<file path=xl/workbook.xml><?xml version="1.0" encoding="utf-8"?>
<x:workbook xmlns:x="http://schemas.openxmlformats.org/spreadsheetml/2006/main">
  <x:sheets>
    <x:sheet xmlns:r="http://schemas.openxmlformats.org/officeDocument/2006/relationships" name="Summary" sheetId="1" r:id="R3fb5cd45cb734210"/>
    <x:sheet xmlns:r="http://schemas.openxmlformats.org/officeDocument/2006/relationships" name="Calibration Sample" sheetId="2" r:id="R594dc914c8d845f2"/>
    <x:sheet xmlns:r="http://schemas.openxmlformats.org/officeDocument/2006/relationships" name="Human Lists" sheetId="3" r:id="Racbff40b9c914d2f"/>
    <x:sheet xmlns:r="http://schemas.openxmlformats.org/officeDocument/2006/relationships" name="Metric Source" sheetId="4" r:id="Rf8781d01aa88494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
  </x:numFmts>
  <x:fonts count="7">
    <x:font>
      <x:sz val="11"/>
      <x:name val="Carlito"/>
    </x:font>
    <x:font>
      <x:b/>
      <x:sz val="18"/>
      <x:color rgb="FFFFFFFF"/>
      <x:name val="Carlito"/>
    </x:font>
    <x:font>
      <x:i/>
      <x:sz val="11"/>
      <x:color rgb="FF6B4F00"/>
      <x:name val="Carlito"/>
    </x:font>
    <x:font>
      <x:b/>
      <x:sz val="11"/>
      <x:color rgb="FFFFFFFF"/>
      <x:name val="Carlito"/>
    </x:font>
    <x:font>
      <x:b/>
      <x:sz val="17"/>
      <x:color rgb="FFFFFFFF"/>
      <x:name val="Carlito"/>
    </x:font>
    <x:font>
      <x:i/>
      <x:sz val="11"/>
      <x:color rgb="FF334155"/>
      <x:name val="Carlito"/>
    </x:font>
    <x:font>
      <x:sz val="9"/>
      <x:name val="Microsoft YaHei"/>
    </x:font>
  </x:fonts>
  <x:fills count="6">
    <x:fill>
      <x:patternFill patternType="none"/>
    </x:fill>
    <x:fill>
      <x:patternFill patternType="gray125"/>
    </x:fill>
    <x:fill>
      <x:patternFill patternType="solid">
        <x:fgColor rgb="FF17324D"/>
      </x:patternFill>
    </x:fill>
    <x:fill>
      <x:patternFill patternType="solid">
        <x:fgColor rgb="FFFFF4CC"/>
      </x:patternFill>
    </x:fill>
    <x:fill>
      <x:patternFill patternType="solid">
        <x:fgColor rgb="FF2B6F77"/>
      </x:patternFill>
    </x:fill>
    <x:fill>
      <x:patternFill patternType="solid">
        <x:fgColor rgb="FFEAF0F6"/>
      </x:patternFill>
    </x:fill>
  </x:fills>
  <x:borders count="1">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4" fillId="2"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3" fillId="4" borderId="0" xfId="0" applyNumberFormat="1" applyFont="1" applyFill="1" applyBorder="1" applyAlignment="1">
      <x:alignment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5d506cce924e37" /><Relationship Type="http://schemas.openxmlformats.org/officeDocument/2006/relationships/theme" Target="/xl/theme/theme1.xml" Id="Rd0d2a3b7359e4657" /><Relationship Type="http://schemas.openxmlformats.org/officeDocument/2006/relationships/sharedStrings" Target="/xl/sharedStrings.xml" Id="R4c9570f471514ad0" /><Relationship Type="http://schemas.openxmlformats.org/officeDocument/2006/relationships/worksheet" Target="/xl/worksheets/sheet1.xml" Id="R3fb5cd45cb734210" /><Relationship Type="http://schemas.openxmlformats.org/officeDocument/2006/relationships/worksheet" Target="/xl/worksheets/sheet2.xml" Id="R594dc914c8d845f2" /><Relationship Type="http://schemas.openxmlformats.org/officeDocument/2006/relationships/worksheet" Target="/xl/worksheets/sheet3.xml" Id="Racbff40b9c914d2f" /><Relationship Type="http://schemas.openxmlformats.org/officeDocument/2006/relationships/worksheet" Target="/xl/worksheets/sheet4.xml" Id="Rf8781d01aa88494d" /></Relationships>
</file>

<file path=xl/tables/table1.xml><?xml version="1.0" encoding="utf-8"?>
<x:table xmlns:x="http://schemas.openxmlformats.org/spreadsheetml/2006/main" id="1" name="CalibrationTable" displayName="CalibrationTable" ref="A4:S40" headerRowCount="1" totalsRowCount="0" totalsRowShown="0">
  <x:tableColumns count="19">
    <x:tableColumn id="1" name="record_type"/>
    <x:tableColumn id="2" name="question_id"/>
    <x:tableColumn id="3" name="question"/>
    <x:tableColumn id="4" name="claim_id"/>
    <x:tableColumn id="5" name="claim"/>
    <x:tableColumn id="6" name="claim_type"/>
    <x:tableColumn id="7" name="assigned_evidence_span"/>
    <x:tableColumn id="8" name="complete_chunk_context"/>
    <x:tableColumn id="9" name="source_title"/>
    <x:tableColumn id="10" name="source_url"/>
    <x:tableColumn id="11" name="v1_label"/>
    <x:tableColumn id="12" name="v2_label"/>
    <x:tableColumn id="13" name="embedding_score"/>
    <x:tableColumn id="14" name="verifier_score"/>
    <x:tableColumn id="15" name="rule_flags"/>
    <x:tableColumn id="16" name="stratum"/>
    <x:tableColumn id="17" name="human_support_label"/>
    <x:tableColumn id="18" name="human_citation_correct"/>
    <x:tableColumn id="19" name="human_com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bb7c1135ebb4789"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s>
  <x:sheetData>
    <x:row r="1">
      <x:c r="A1" s="2" t="str">
        <x:v>Citation V2 Human Calibration Sample</x:v>
      </x:c>
      <x:c r="B1" s="2"/>
      <x:c r="C1" s="2"/>
      <x:c r="D1" s="2"/>
      <x:c r="E1" s="2"/>
      <x:c r="F1" s="2"/>
    </x:row>
    <x:row r="2">
      <x:c r="A2" s="5" t="str">
        <x:v>36 stratified rows: 32 real claims + 4 synthetic sanity hard negatives; all human fields blank</x:v>
      </x:c>
      <x:c r="B2" s="5"/>
      <x:c r="C2" s="5"/>
      <x:c r="D2" s="5"/>
      <x:c r="E2" s="5"/>
      <x:c r="F2" s="5"/>
    </x:row>
    <x:row r="4">
      <x:c r="A4" s="7" t="str">
        <x:v>Metric</x:v>
      </x:c>
      <x:c r="B4" s="7" t="str">
        <x:v>Value</x:v>
      </x:c>
      <x:c r="C4" s="7" t="str">
        <x:v>Note</x:v>
      </x:c>
    </x:row>
    <x:row r="5">
      <x:c r="A5" t="str">
        <x:v>Rows</x:v>
      </x:c>
      <x:c r="B5" t="n">
        <x:f>'Metric Source'!B2</x:f>
        <x:v>36</x:v>
      </x:c>
      <x:c r="C5" t="str">
        <x:v>total sample</x:v>
      </x:c>
    </x:row>
    <x:row r="6">
      <x:c r="A6" t="str">
        <x:v>Real claims</x:v>
      </x:c>
      <x:c r="B6" t="n">
        <x:f>'Metric Source'!B3</x:f>
        <x:v>32</x:v>
      </x:c>
      <x:c r="C6" t="str">
        <x:v>official frozen claims</x:v>
      </x:c>
    </x:row>
    <x:row r="7">
      <x:c r="A7" t="str">
        <x:v>Hard negatives</x:v>
      </x:c>
      <x:c r="B7" t="n">
        <x:f>'Metric Source'!B4</x:f>
        <x:v>4</x:v>
      </x:c>
      <x:c r="C7" t="str">
        <x:v>sanity only; excluded from benchmark</x:v>
      </x:c>
    </x:row>
    <x:row r="8">
      <x:c r="A8" t="str">
        <x:v>V2 supported/partial</x:v>
      </x:c>
      <x:c r="B8" t="n">
        <x:f>'Metric Source'!B5</x:f>
        <x:v>17</x:v>
      </x:c>
      <x:c r="C8" t="str">
        <x:v>automatic V2 labels</x:v>
      </x:c>
    </x:row>
    <x:row r="9">
      <x:c r="A9" t="str">
        <x:v>Source quality rows</x:v>
      </x:c>
      <x:c r="B9" t="n">
        <x:f>'Metric Source'!B6</x:f>
        <x:v>1</x:v>
      </x:c>
      <x:c r="C9" t="str">
        <x:v>traffic/source gaps</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13" hidden="0" customWidth="1"/>
    <x:col min="3" max="3" width="36" hidden="0" customWidth="1"/>
    <x:col min="4" max="4" width="19" hidden="0" customWidth="1"/>
    <x:col min="5" max="5" width="42" hidden="0" customWidth="1"/>
    <x:col min="6" max="6" width="17" hidden="0" customWidth="1"/>
    <x:col min="7" max="7" width="52" hidden="0" customWidth="1"/>
    <x:col min="8" max="8" width="58" hidden="0" customWidth="1"/>
    <x:col min="9" max="9" width="36" hidden="0" customWidth="1"/>
    <x:col min="10" max="10" width="34" hidden="0" customWidth="1"/>
    <x:col min="11" max="11" width="18" hidden="0" customWidth="1"/>
    <x:col min="12" max="12" width="18" hidden="0" customWidth="1"/>
    <x:col min="13" max="13" width="16" hidden="0" customWidth="1"/>
    <x:col min="14" max="14" width="16" hidden="0" customWidth="1"/>
    <x:col min="15" max="15" width="28" hidden="0" customWidth="1"/>
    <x:col min="16" max="16" width="24" hidden="0" customWidth="1"/>
    <x:col min="17" max="17" width="22" hidden="0" customWidth="1"/>
    <x:col min="18" max="18" width="22" hidden="0" customWidth="1"/>
    <x:col min="19" max="19" width="38" hidden="0" customWidth="1"/>
  </x:cols>
  <x:sheetData>
    <x:row r="1">
      <x:c r="A1" s="8" t="str">
        <x:v>Citation V2 Calibration — Manual Review</x:v>
      </x:c>
      <x:c r="B1" s="8"/>
      <x:c r="C1" s="8"/>
      <x:c r="D1" s="8"/>
      <x:c r="E1" s="8"/>
      <x:c r="F1" s="8"/>
      <x:c r="G1" s="8"/>
      <x:c r="H1" s="8"/>
      <x:c r="I1" s="8"/>
      <x:c r="J1" s="8"/>
      <x:c r="K1" s="8"/>
      <x:c r="L1" s="8"/>
      <x:c r="M1" s="8"/>
      <x:c r="N1" s="8"/>
      <x:c r="O1" s="8"/>
      <x:c r="P1" s="8"/>
      <x:c r="Q1" s="8"/>
      <x:c r="R1" s="8"/>
      <x:c r="S1" s="8"/>
    </x:row>
    <x:row r="2">
      <x:c r="A2" s="11" t="str">
        <x:v>Yellow columns Q:S are intentionally blank; synthetic rows are SANITY_ONLY and never enter benchmark metrics.</x:v>
      </x:c>
      <x:c r="B2" s="11"/>
      <x:c r="C2" s="11"/>
      <x:c r="D2" s="11"/>
      <x:c r="E2" s="11"/>
      <x:c r="F2" s="11"/>
      <x:c r="G2" s="11"/>
      <x:c r="H2" s="11"/>
      <x:c r="I2" s="11"/>
      <x:c r="J2" s="11"/>
      <x:c r="K2" s="11"/>
      <x:c r="L2" s="11"/>
      <x:c r="M2" s="11"/>
      <x:c r="N2" s="11"/>
      <x:c r="O2" s="11"/>
      <x:c r="P2" s="11"/>
      <x:c r="Q2" s="11"/>
      <x:c r="R2" s="11"/>
      <x:c r="S2" s="11"/>
    </x:row>
    <x:row r="4" ht="42" customHeight="1">
      <x:c r="A4" s="12" t="str">
        <x:v>record_type</x:v>
      </x:c>
      <x:c r="B4" s="12" t="str">
        <x:v>question_id</x:v>
      </x:c>
      <x:c r="C4" s="12" t="str">
        <x:v>question</x:v>
      </x:c>
      <x:c r="D4" s="12" t="str">
        <x:v>claim_id</x:v>
      </x:c>
      <x:c r="E4" s="12" t="str">
        <x:v>claim</x:v>
      </x:c>
      <x:c r="F4" s="12" t="str">
        <x:v>claim_type</x:v>
      </x:c>
      <x:c r="G4" s="12" t="str">
        <x:v>assigned_evidence_span</x:v>
      </x:c>
      <x:c r="H4" s="12" t="str">
        <x:v>complete_chunk_context</x:v>
      </x:c>
      <x:c r="I4" s="12" t="str">
        <x:v>source_title</x:v>
      </x:c>
      <x:c r="J4" s="12" t="str">
        <x:v>source_url</x:v>
      </x:c>
      <x:c r="K4" s="12" t="str">
        <x:v>v1_label</x:v>
      </x:c>
      <x:c r="L4" s="12" t="str">
        <x:v>v2_label</x:v>
      </x:c>
      <x:c r="M4" s="12" t="str">
        <x:v>embedding_score</x:v>
      </x:c>
      <x:c r="N4" s="12" t="str">
        <x:v>verifier_score</x:v>
      </x:c>
      <x:c r="O4" s="12" t="str">
        <x:v>rule_flags</x:v>
      </x:c>
      <x:c r="P4" s="12" t="str">
        <x:v>stratum</x:v>
      </x:c>
      <x:c r="Q4" s="12" t="str">
        <x:v>human_support_label</x:v>
      </x:c>
      <x:c r="R4" s="12" t="str">
        <x:v>human_citation_correct</x:v>
      </x:c>
      <x:c r="S4" s="12" t="str">
        <x:v>human_comment</x:v>
      </x:c>
    </x:row>
    <x:row r="5" ht="92" customHeight="1">
      <x:c r="A5" s="15" t="str">
        <x:v>CLAIM</x:v>
      </x:c>
      <x:c r="B5" s="15" t="str">
        <x:v>RET-01</x:v>
      </x:c>
      <x:c r="C5" s="15" t="str">
        <x:v>如何查询清华大学本科生学籍、注册与培养管理规定？</x:v>
      </x:c>
      <x:c r="D5" s="15" t="str">
        <x:v>RET-01-C001</x:v>
      </x:c>
      <x:c r="E5" s="15" t="str">
        <x:v>清华大学本科生学籍管理规定由2016~2017学年度第25次校务会议通过，2019~20学年度第30次校务会议修订。</x:v>
      </x:c>
      <x:c r="F5" s="15" t="str">
        <x:v>NUMERIC</x:v>
      </x:c>
      <x:c r="G5" s="15" t="str">
        <x:v>—经2016~2017学年度第25次校务会议通过,2019~20学年度第30次校务会议修订—**第一条**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第二条** 本规定适用于对全校本科生的学籍管理。</x:v>
      </x:c>
      <x:c r="H5" s="15" t="str">
        <x:v>—经2016~2017学年度第25次校务会议通过,2019~20学年度第30次校务会议修订—
##
**第一章 总则**
**第一条**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
**第二条** 本规定适用于对全校本科生的学籍管理。
##
**第二章 入学与注册**
**第三条** 按国家招生规定、经由我校正式录取的本科生新生,应当持《清华大学录取通知书》,按学校有关要求和规定的期限到校办理入学手续。
因故不能按期入学的,应当提前向录取学院、学系(以下简称院系)按要求正式请假。未请假或者请假逾期的,除因不可抗力等正当事由以外,视为放弃入学资格。
**第四条** 学校在新生报到时对新生入学资格进行初步审查,审查合格的办理入学手续,予以注册学籍。审查发现新生的录取通知、考生信息等证明材料与本人实际情况和学校录取信息不符,或者有其他违反国家招生考试规定等情形的,取消入学资格。
**第五条** 新生可以向学校申请保留入学资格。保留入学资格时间原则上不超过两年,应征参加中国人民解放军(含中国人民武装警察部队)的,保留入学资格至退役后两年。
新生保留入学资格期间不具有学籍,不享受在校学习学生待遇。
新生保留入学资格期满前,应当向学校申请入学,经学校审查合格后,办理入学手续。审查不合格的,取消入学资格;逾期不办理入学手续且未有因不可抗力延迟等正当理由的,视为放弃入学资格。
**第六条** 新生入学后,学校在3个月内按照国家招生规定进行复查。
复查中发现学生存在弄虚作假、徇私舞弊等情形的,确定为复查不合格,取消学籍;情节严重的,移交有关部门调查处理。</x:v>
      </x:c>
      <x:c r="I5" s="15" t="str">
        <x:v>清华大学本科生学籍管理规定-清华大学</x:v>
      </x:c>
      <x:c r="J5" s="15" t="str">
        <x:v>https://www.tsinghua.edu.cn/info/1092/1115.htm</x:v>
      </x:c>
      <x:c r="K5" s="15" t="str">
        <x:v>SUPPORTED</x:v>
      </x:c>
      <x:c r="L5" s="15" t="str">
        <x:v>SUPPORTED</x:v>
      </x:c>
      <x:c r="M5" s="17" t="n">
        <x:v>0.8218880891799927</x:v>
      </x:c>
      <x:c r="N5" s="17" t="n">
        <x:v>0.9982064962387085</x:v>
      </x:c>
      <x:c r="O5" s="15" t="str"/>
      <x:c r="P5" s="15" t="str">
        <x:v>SUPPORTED</x:v>
      </x:c>
      <x:c r="Q5" s="16" t="str"/>
      <x:c r="R5" s="16" t="str"/>
      <x:c r="S5" s="16" t="str"/>
    </x:row>
    <x:row r="6" ht="92" customHeight="1">
      <x:c r="A6" s="15" t="str">
        <x:v>CLAIM</x:v>
      </x:c>
      <x:c r="B6" s="15" t="str">
        <x:v>RET-01</x:v>
      </x:c>
      <x:c r="C6" s="15" t="str">
        <x:v>如何查询清华大学本科生学籍、注册与培养管理规定？</x:v>
      </x:c>
      <x:c r="D6" s="15" t="str">
        <x:v>RET-01-C002</x:v>
      </x:c>
      <x:c r="E6" s="15" t="str">
        <x:v>该规定适用于全校本科生的学籍管理。</x:v>
      </x:c>
      <x:c r="F6" s="15" t="str">
        <x:v>FACTUAL</x:v>
      </x:c>
      <x:c r="G6" s="15" t="str">
        <x:v>第一章 总则：**第二条** 本规定适用于对全校本科生的学籍管理。</x:v>
      </x:c>
      <x:c r="H6" s="15" t="str">
        <x:v>—经2016~2017学年度第25次校务会议通过,2019~20学年度第30次校务会议修订—
##
**第一章 总则**
**第一条**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
**第二条** 本规定适用于对全校本科生的学籍管理。
##
**第二章 入学与注册**
**第三条** 按国家招生规定、经由我校正式录取的本科生新生,应当持《清华大学录取通知书》,按学校有关要求和规定的期限到校办理入学手续。
因故不能按期入学的,应当提前向录取学院、学系(以下简称院系)按要求正式请假。未请假或者请假逾期的,除因不可抗力等正当事由以外,视为放弃入学资格。
**第四条** 学校在新生报到时对新生入学资格进行初步审查,审查合格的办理入学手续,予以注册学籍。审查发现新生的录取通知、考生信息等证明材料与本人实际情况和学校录取信息不符,或者有其他违反国家招生考试规定等情形的,取消入学资格。
**第五条** 新生可以向学校申请保留入学资格。保留入学资格时间原则上不超过两年,应征参加中国人民解放军(含中国人民武装警察部队)的,保留入学资格至退役后两年。
新生保留入学资格期间不具有学籍,不享受在校学习学生待遇。
新生保留入学资格期满前,应当向学校申请入学,经学校审查合格后,办理入学手续。审查不合格的,取消入学资格;逾期不办理入学手续且未有因不可抗力延迟等正当理由的,视为放弃入学资格。
**第六条** 新生入学后,学校在3个月内按照国家招生规定进行复查。
复查中发现学生存在弄虚作假、徇私舞弊等情形的,确定为复查不合格,取消学籍;情节严重的,移交有关部门调查处理。</x:v>
      </x:c>
      <x:c r="I6" s="15" t="str">
        <x:v>清华大学本科生学籍管理规定-清华大学</x:v>
      </x:c>
      <x:c r="J6" s="15" t="str">
        <x:v>https://www.tsinghua.edu.cn/info/1092/1115.htm</x:v>
      </x:c>
      <x:c r="K6" s="15" t="str">
        <x:v>UNSUPPORTED</x:v>
      </x:c>
      <x:c r="L6" s="15" t="str">
        <x:v>SUPPORTED</x:v>
      </x:c>
      <x:c r="M6" s="17" t="n">
        <x:v>0.8128286004066467</x:v>
      </x:c>
      <x:c r="N6" s="17" t="n">
        <x:v>0.9997926354408264</x:v>
      </x:c>
      <x:c r="O6" s="15" t="str"/>
      <x:c r="P6" s="15" t="str">
        <x:v>V1_FAILURE_TO_V2_SUCCESS</x:v>
      </x:c>
      <x:c r="Q6" s="16" t="str"/>
      <x:c r="R6" s="16" t="str"/>
      <x:c r="S6" s="16" t="str"/>
    </x:row>
    <x:row r="7" ht="92" customHeight="1">
      <x:c r="A7" s="15" t="str">
        <x:v>CLAIM</x:v>
      </x:c>
      <x:c r="B7" s="15" t="str">
        <x:v>RET-02</x:v>
      </x:c>
      <x:c r="C7" s="15" t="str">
        <x:v>学生公寓住宿规定、入住和退宿怎么办？</x:v>
      </x:c>
      <x:c r="D7" s="15" t="str">
        <x:v>RET-02-C002</x:v>
      </x:c>
      <x:c r="E7" s="15" t="str">
        <x:v>具有学校学籍的全日制在校学生具有申请入住资格。</x:v>
      </x:c>
      <x:c r="F7" s="15" t="str">
        <x:v>PROCEDURAL</x:v>
      </x:c>
      <x:c r="G7" s="15" t="str">
        <x:v>1.具有清华大学学籍的全日制在校学生具有申请入住学生公寓的资格。</x:v>
      </x:c>
      <x:c r="H7" s="15" t="str">
        <x:v>1.具有清华大学学籍的全日制在校学生具有申请入住学生公寓的资格。经本人提出住宿申请,学校批准同意后,应当与学生社区管理服务中心签订住宿协议,由学生社区管理服务中心统筹安排。如需调整学生住宿安排,学生社区管理服务中心或院系提前告知相关学生,学生有义务配合搬家调整、集中住宿等工作。
2.根据清华大学学生公寓住宿管理办法,学生公寓住宿分配本着分区住宿、按院系相对集中的原则进行。
3.学生按照学校规定流程办理入住手续后方可入住指定床位,未经批准不得自行调换。
4.住宿学生如遇疾病等特殊情况需要调换床位的,应向所在院系和学生社区管理服务中心提出申请,经批准后方可进行调换。
5.住宿学生毕业、住宿协议到期、退学、离校六个月以上的,应当及时办理退宿手续,并自退宿手续办结之日起七日内搬离宿舍。未按期搬离宿舍的,由学生工作部门、所在院系、保卫部门、学生社区管理服务中心依法依规依约相应进行处理。
6.住宿学生自愿退宿的,应当提出退宿申请,经所在院系和学生工作部门批准后及时办理退宿手续。已在学生公寓办理入住手续,又自行到公寓外住宿者,由此引发的一切问题,其责任自负。
7.住宿学生应当增强安全意识、掌握安全知识技能,参加安全培训、演练等安全教育活动,提升自我管理能力、防范能力和自救逃生能力。
8.住宿学生发现火情时,应及时采取报警、撤离现场等措施。发现可疑人员或治安、刑事等案件时,应保护现场,及时向公寓工作人员或保卫处报告情况。
9.学生公寓实行宿舍安全卫生秩序检查制度,住宿学生应当予以配合。检查过程中发现违规违纪行为的,检查人员应当及时制止并采取必要的措施。学生公寓工作人员不定期检查宿舍,维护宿舍安全,督促学生养成良好生活习惯。
10.在本科生公寓住宿的学生,应自觉遵守公寓熄灯规定,及时关闭电器,确保用电安全。
11.住宿学生不得将宿舍房间钥匙、门禁卡、房卡等转借他人;</x:v>
      </x:c>
      <x:c r="I7" s="15" t="str">
        <x:v>住宿注意事项</x:v>
      </x:c>
      <x:c r="J7" s="15" t="str">
        <x:v>https://www.tsinghua.edu.cn/xssqglfwzx/info/1043/1175.htm</x:v>
      </x:c>
      <x:c r="K7" s="15" t="str">
        <x:v>UNSUPPORTED</x:v>
      </x:c>
      <x:c r="L7" s="15" t="str">
        <x:v>SUPPORTED</x:v>
      </x:c>
      <x:c r="M7" s="17" t="n">
        <x:v>0.7935872673988342</x:v>
      </x:c>
      <x:c r="N7" s="17" t="n">
        <x:v>0.9987911581993103</x:v>
      </x:c>
      <x:c r="O7" s="15" t="str"/>
      <x:c r="P7" s="15" t="str">
        <x:v>V1_FAILURE_TO_V2_SUCCESS</x:v>
      </x:c>
      <x:c r="Q7" s="16" t="str"/>
      <x:c r="R7" s="16" t="str"/>
      <x:c r="S7" s="16" t="str"/>
    </x:row>
    <x:row r="8" ht="92" customHeight="1">
      <x:c r="A8" s="15" t="str">
        <x:v>CLAIM</x:v>
      </x:c>
      <x:c r="B8" s="15" t="str">
        <x:v>RET-02</x:v>
      </x:c>
      <x:c r="C8" s="15" t="str">
        <x:v>学生公寓住宿规定、入住和退宿怎么办？</x:v>
      </x:c>
      <x:c r="D8" s="15" t="str">
        <x:v>RET-02-C004</x:v>
      </x:c>
      <x:c r="E8" s="15" t="str">
        <x:v>与学生社区管理服务中心签订住宿协议。</x:v>
      </x:c>
      <x:c r="F8" s="15" t="str">
        <x:v>PROCEDURAL</x:v>
      </x:c>
      <x:c r="G8" s="15" t="str">
        <x:v>经本人提出住宿申请,学校批准同意后,应当与学生社区管理服务中心签订住宿协议,由学生社区管理服务中心统筹安排。</x:v>
      </x:c>
      <x:c r="H8" s="15" t="str">
        <x:v>1.具有清华大学学籍的全日制在校学生具有申请入住学生公寓的资格。经本人提出住宿申请,学校批准同意后,应当与学生社区管理服务中心签订住宿协议,由学生社区管理服务中心统筹安排。如需调整学生住宿安排,学生社区管理服务中心或院系提前告知相关学生,学生有义务配合搬家调整、集中住宿等工作。
2.根据清华大学学生公寓住宿管理办法,学生公寓住宿分配本着分区住宿、按院系相对集中的原则进行。
3.学生按照学校规定流程办理入住手续后方可入住指定床位,未经批准不得自行调换。
4.住宿学生如遇疾病等特殊情况需要调换床位的,应向所在院系和学生社区管理服务中心提出申请,经批准后方可进行调换。
5.住宿学生毕业、住宿协议到期、退学、离校六个月以上的,应当及时办理退宿手续,并自退宿手续办结之日起七日内搬离宿舍。未按期搬离宿舍的,由学生工作部门、所在院系、保卫部门、学生社区管理服务中心依法依规依约相应进行处理。
6.住宿学生自愿退宿的,应当提出退宿申请,经所在院系和学生工作部门批准后及时办理退宿手续。已在学生公寓办理入住手续,又自行到公寓外住宿者,由此引发的一切问题,其责任自负。
7.住宿学生应当增强安全意识、掌握安全知识技能,参加安全培训、演练等安全教育活动,提升自我管理能力、防范能力和自救逃生能力。
8.住宿学生发现火情时,应及时采取报警、撤离现场等措施。发现可疑人员或治安、刑事等案件时,应保护现场,及时向公寓工作人员或保卫处报告情况。
9.学生公寓实行宿舍安全卫生秩序检查制度,住宿学生应当予以配合。检查过程中发现违规违纪行为的,检查人员应当及时制止并采取必要的措施。学生公寓工作人员不定期检查宿舍,维护宿舍安全,督促学生养成良好生活习惯。
10.在本科生公寓住宿的学生,应自觉遵守公寓熄灯规定,及时关闭电器,确保用电安全。
11.住宿学生不得将宿舍房间钥匙、门禁卡、房卡等转借他人;</x:v>
      </x:c>
      <x:c r="I8" s="15" t="str">
        <x:v>住宿注意事项</x:v>
      </x:c>
      <x:c r="J8" s="15" t="str">
        <x:v>https://www.tsinghua.edu.cn/xssqglfwzx/info/1043/1175.htm</x:v>
      </x:c>
      <x:c r="K8" s="15" t="str">
        <x:v>UNSUPPORTED</x:v>
      </x:c>
      <x:c r="L8" s="15" t="str">
        <x:v>SUPPORTED</x:v>
      </x:c>
      <x:c r="M8" s="17" t="n">
        <x:v>0.7514089345932007</x:v>
      </x:c>
      <x:c r="N8" s="17" t="n">
        <x:v>0.9998753070831299</x:v>
      </x:c>
      <x:c r="O8" s="15" t="str"/>
      <x:c r="P8" s="15" t="str">
        <x:v>V1_FAILURE_TO_V2_SUCCESS</x:v>
      </x:c>
      <x:c r="Q8" s="16" t="str"/>
      <x:c r="R8" s="16" t="str"/>
      <x:c r="S8" s="16" t="str"/>
    </x:row>
    <x:row r="9" ht="92" customHeight="1">
      <x:c r="A9" s="15" t="str">
        <x:v>CLAIM</x:v>
      </x:c>
      <x:c r="B9" s="15" t="str">
        <x:v>RET-02</x:v>
      </x:c>
      <x:c r="C9" s="15" t="str">
        <x:v>学生公寓住宿规定、入住和退宿怎么办？</x:v>
      </x:c>
      <x:c r="D9" s="15" t="str">
        <x:v>RET-02-C007</x:v>
      </x:c>
      <x:c r="E9" s="15" t="str">
        <x:v>办理入住手续后入住指定床位，未经批准不得擅自调换。</x:v>
      </x:c>
      <x:c r="F9" s="15" t="str">
        <x:v>PROCEDURAL</x:v>
      </x:c>
      <x:c r="G9" s="15" t="str">
        <x:v>3.学生按照学校规定流程办理入住手续后方可入住指定床位,未经批准不得自行调换。</x:v>
      </x:c>
      <x:c r="H9" s="15" t="str">
        <x:v>1.具有清华大学学籍的全日制在校学生具有申请入住学生公寓的资格。经本人提出住宿申请,学校批准同意后,应当与学生社区管理服务中心签订住宿协议,由学生社区管理服务中心统筹安排。如需调整学生住宿安排,学生社区管理服务中心或院系提前告知相关学生,学生有义务配合搬家调整、集中住宿等工作。
2.根据清华大学学生公寓住宿管理办法,学生公寓住宿分配本着分区住宿、按院系相对集中的原则进行。
3.学生按照学校规定流程办理入住手续后方可入住指定床位,未经批准不得自行调换。
4.住宿学生如遇疾病等特殊情况需要调换床位的,应向所在院系和学生社区管理服务中心提出申请,经批准后方可进行调换。
5.住宿学生毕业、住宿协议到期、退学、离校六个月以上的,应当及时办理退宿手续,并自退宿手续办结之日起七日内搬离宿舍。未按期搬离宿舍的,由学生工作部门、所在院系、保卫部门、学生社区管理服务中心依法依规依约相应进行处理。
6.住宿学生自愿退宿的,应当提出退宿申请,经所在院系和学生工作部门批准后及时办理退宿手续。已在学生公寓办理入住手续,又自行到公寓外住宿者,由此引发的一切问题,其责任自负。
7.住宿学生应当增强安全意识、掌握安全知识技能,参加安全培训、演练等安全教育活动,提升自我管理能力、防范能力和自救逃生能力。
8.住宿学生发现火情时,应及时采取报警、撤离现场等措施。发现可疑人员或治安、刑事等案件时,应保护现场,及时向公寓工作人员或保卫处报告情况。
9.学生公寓实行宿舍安全卫生秩序检查制度,住宿学生应当予以配合。检查过程中发现违规违纪行为的,检查人员应当及时制止并采取必要的措施。学生公寓工作人员不定期检查宿舍,维护宿舍安全,督促学生养成良好生活习惯。
10.在本科生公寓住宿的学生,应自觉遵守公寓熄灯规定,及时关闭电器,确保用电安全。
11.住宿学生不得将宿舍房间钥匙、门禁卡、房卡等转借他人;</x:v>
      </x:c>
      <x:c r="I9" s="15" t="str">
        <x:v>住宿注意事项</x:v>
      </x:c>
      <x:c r="J9" s="15" t="str">
        <x:v>https://www.tsinghua.edu.cn/xssqglfwzx/info/1043/1175.htm</x:v>
      </x:c>
      <x:c r="K9" s="15" t="str">
        <x:v>UNSUPPORTED</x:v>
      </x:c>
      <x:c r="L9" s="15" t="str">
        <x:v>SUPPORTED</x:v>
      </x:c>
      <x:c r="M9" s="17" t="n">
        <x:v>0.7407679557800293</x:v>
      </x:c>
      <x:c r="N9" s="17" t="n">
        <x:v>0.9999066591262817</x:v>
      </x:c>
      <x:c r="O9" s="15" t="str"/>
      <x:c r="P9" s="15" t="str">
        <x:v>V1_FAILURE_TO_V2_SUCCESS</x:v>
      </x:c>
      <x:c r="Q9" s="16" t="str"/>
      <x:c r="R9" s="16" t="str"/>
      <x:c r="S9" s="16" t="str"/>
    </x:row>
    <x:row r="10" ht="92" customHeight="1">
      <x:c r="A10" s="15" t="str">
        <x:v>CLAIM</x:v>
      </x:c>
      <x:c r="B10" s="15" t="str">
        <x:v>RET-03</x:v>
      </x:c>
      <x:c r="C10" s="15" t="str">
        <x:v>清华校园网如何接入，账号或网络故障如何处理？</x:v>
      </x:c>
      <x:c r="D10" s="15" t="str">
        <x:v>RET-03-C001</x:v>
      </x:c>
      <x:c r="E10" s="15" t="str">
        <x:v>清华校园网提供有线网络服务，无线网络服务，GPON光纤入户服务等。</x:v>
      </x:c>
      <x:c r="F10" s="15" t="str">
        <x:v>LOCATION</x:v>
      </x:c>
      <x:c r="G10" s="15" t="str">
        <x:v>3. 提供覆盖教学办公区和学生宿舍区的无线网络服务4. 提供除蓝旗营、荷清苑外的校内教工宿舍区校园网GPON光纤入户服务</x:v>
      </x:c>
      <x:c r="H10" s="15" t="str">
        <x:v>2. 提供覆盖教学办公区、学生宿舍区和校内教工住宅区的有线网络服务
3. 提供覆盖教学办公区和学生宿舍区的无线网络服务
4. 提供除蓝旗营、荷清苑外的校内教工宿舍区校园网GPON光纤入户服务
5. 提供校园网DNS、DHCP、计费认证、邮件及VPN等校园网络支撑服务
![](/__local/A/5F/E9/97CD080DF9627A01F5A33BFBEE4_94E3C105_1421F0.png)
图1 校园网电子邮件系统
![](/__local/E/7B/C7/8747916E2E0FB42F25EC910E6A0_7C1C2375_B819B.png)
图2 校园网WebVPN系统
6. 全面开启支持基于IPv4/IPv6双栈的实名准入认证服务
![](/__local/1/2F/B9/36B3F609B542CF4EA5400BEF193_3D054AAD_10BE3.png)
图3 校园网准入认证登录页面
7. 提供校园网网络安全服务
![](/__local/3/62/35/20AB0EBAFF393D42E832D01B145_CC742C39_73BDE.png)
图4 校园网网络安全事件处理指南
8.提供多种企业版防病毒软件的服务
![](/__local/5/9B/3C/42D6F93847F9E879060CFCFDB0F_1BEA3CDB_CC7B.png)
图5 ESET NOD32防病毒软件
![](/__local/0/6D/6B/6FB453E1AACB6ABDD15C3AA0F27_61C5B2E1_6F08.png)
图6 卡巴斯基防病毒软件
9. 提供24小时网络运行监控的服务
!</x:v>
      </x:c>
      <x:c r="I10" s="15" t="str">
        <x:v>校园网络运行</x:v>
      </x:c>
      <x:c r="J10" s="15" t="str">
        <x:v>https://www.itc.tsinghua.edu.cn/ggfwsd/xywlyx.htm</x:v>
      </x:c>
      <x:c r="K10" s="15" t="str">
        <x:v>UNSUPPORTED</x:v>
      </x:c>
      <x:c r="L10" s="15" t="str">
        <x:v>SUPPORTED</x:v>
      </x:c>
      <x:c r="M10" s="17" t="n">
        <x:v>0.7573011517524719</x:v>
      </x:c>
      <x:c r="N10" s="17" t="n">
        <x:v>0.9893093109130859</x:v>
      </x:c>
      <x:c r="O10" s="15" t="str"/>
      <x:c r="P10" s="15" t="str">
        <x:v>V1_FAILURE_TO_V2_SUCCESS</x:v>
      </x:c>
      <x:c r="Q10" s="16" t="str"/>
      <x:c r="R10" s="16" t="str"/>
      <x:c r="S10" s="16" t="str"/>
    </x:row>
    <x:row r="11" ht="92" customHeight="1">
      <x:c r="A11" s="15" t="str">
        <x:v>CLAIM</x:v>
      </x:c>
      <x:c r="B11" s="15" t="str">
        <x:v>RET-06</x:v>
      </x:c>
      <x:c r="C11" s="15" t="str">
        <x:v>清华学生奖学金、助学金申请和评选办法是什么？</x:v>
      </x:c>
      <x:c r="D11" s="15" t="str">
        <x:v>RET-06-C002</x:v>
      </x:c>
      <x:c r="E11" s="15" t="str">
        <x:v>特等奖学金面向全体本科生、研究生分别组织评选，每年表彰不超过二十名学生。</x:v>
      </x:c>
      <x:c r="F11" s="15" t="str">
        <x:v>TEMPORAL</x:v>
      </x:c>
      <x:c r="G11" s="15" t="str">
        <x:v>清华大学特等奖学金评选办法 - 清华大学信息门户：第二条 特等奖学金面向全体本科生、研究生分别组织评选,评选组织工作由学生处、研究生院(以下简称评选机构)分别承担。特等奖学金每年评选一次,每次表彰不超过二十名学生,其中本科生、研究生均不超过十名。</x:v>
      </x:c>
      <x:c r="H11" s="15" t="str">
        <x:v># 清华大学特等奖学金评选办法 - 清华大学信息门户
- Source: https://info.tsinghua.edu.cn/f/info/xxfb_fg/xnzx/template/detail?xxid=ad6e98bc019644df97dadbbff29f8964
关闭
清华大学特等奖学金评选办法
规章制度
学生部 2025-11-19 10:44
清华大学特等奖学金评选办法
(经2019~2020学年度第3次校务会议审议通过)
第一条 为了更好地鼓励引导全校学生肩负使命、追求卓越,进一步规范特等奖学金评选工作,制定本办法。
第二条 特等奖学金面向全体本科生、研究生分别组织评选,评选组织工作由学生处、研究生院(以下简称评选机构)分别承担。
特等奖学金每年评选一次,每次表彰不超过二十名学生,其中本科生、研究生均不超过十名。
第三条 特等奖学金评选条件
(一)符合《清华大学学生奖学金管理规定》规定的基本申请条件;
(二)道德品质优秀,模范遵守法律法规以及校规校纪;
(三)学风端正,学业成绩优良;
(四)在校期间全面发展、表现优秀,或者在某一方面有突出表现,或者为国家、社会、学校做出突出贡献。
评选机构负责根据评选条件制定相应的特等奖学金评选标准。
第四条 特等奖学金评选程序
(一)评选机构发布评选通知;
(二)学生本人按照评选通知要求提出申请,所在院系负责进行申请资格审查,审核并组织公示申请材料,并负责将最终推荐参评名单及申请材料统一提交评选机构;
(三)评选机构组织初评,形成候选人名单,在学校信息门户网站对候选人名单进行公示;
(四)评选机构通过现场答辩形式组织复评,形成推荐名单,提请校务会议审议;
(五)校务会议讨论决定特等奖学金表彰名单;
(六)特等奖学金表彰名单在学校信息门户网站予以公示。</x:v>
      </x:c>
      <x:c r="I11" s="15" t="str">
        <x:v>清华大学特等奖学金评选办法 - 清华大学信息门户</x:v>
      </x:c>
      <x:c r="J11" s="15" t="str">
        <x:v>https://info.tsinghua.edu.cn/f/info/xxfb_fg/xnzx/template/detail?xxid=ad6e98bc019644df97dadbbff29f8964</x:v>
      </x:c>
      <x:c r="K11" s="15" t="str">
        <x:v>UNSUPPORTED</x:v>
      </x:c>
      <x:c r="L11" s="15" t="str">
        <x:v>SUPPORTED</x:v>
      </x:c>
      <x:c r="M11" s="17" t="n">
        <x:v>0.7655861377716064</x:v>
      </x:c>
      <x:c r="N11" s="17" t="n">
        <x:v>0.9973511695861816</x:v>
      </x:c>
      <x:c r="O11" s="15" t="str"/>
      <x:c r="P11" s="15" t="str">
        <x:v>V1_FAILURE_TO_V2_SUCCESS</x:v>
      </x:c>
      <x:c r="Q11" s="16" t="str"/>
      <x:c r="R11" s="16" t="str"/>
      <x:c r="S11" s="16" t="str"/>
    </x:row>
    <x:row r="12" ht="92" customHeight="1">
      <x:c r="A12" s="15" t="str">
        <x:v>CLAIM</x:v>
      </x:c>
      <x:c r="B12" s="15" t="str">
        <x:v>RET-02</x:v>
      </x:c>
      <x:c r="C12" s="15" t="str">
        <x:v>学生公寓住宿规定、入住和退宿怎么办？</x:v>
      </x:c>
      <x:c r="D12" s="15" t="str">
        <x:v>RET-02-C003</x:v>
      </x:c>
      <x:c r="E12" s="15" t="str">
        <x:v>提出住宿申请，经批准后方可入住。</x:v>
      </x:c>
      <x:c r="F12" s="15" t="str">
        <x:v>PROCEDURAL</x:v>
      </x:c>
      <x:c r="G12" s="15" t="str">
        <x:v>第三章 入住与退宿：学生提出住宿申请,经学校批准后方可入住。</x:v>
      </x:c>
      <x:c r="H12" s="15" t="str">
        <x:v>学生公寓管理委员会设工作组,由学生社区管理服务中心、学生处、研究生工作部、国际合作与交流处等部门作为成员单位,通过工作组会议形式具体协调处理学生公寓住宿管理服务相关工作。
**第三章 入住与退宿**
第六条 具有学校学籍的全日制在校学生具有申请入住学生公寓的资格。学生提出住宿申请,经学校批准后方可入住。
第七条 获批住宿的学生应当与学生社区管理服务中心签订住宿协议。
第八条 学生公寓按照分区住宿、院系相对集中的原则进行住宿分配,学生社区管理服务中心具体负责相关工作。住宿学生应当服从学校住宿安排及调整。
第九条 学生办理入住手续后应当入住指定床位,不得擅自调换。住宿学生遇疾病等特殊情况确需调换床位的,应当向所在院系和学生社区管理服务中心提出申请,获批后方可进行调换。
第十条 住宿学生不得擅自到学生公寓外住宿,外出超过三天的应当提前向住宿公寓办公室备案。
第十一条 国际学生住宿期间应当持有合法有效的身份证件,并通过学生社区管理服务中心按相关规定办理临时住宿登记。登记信息发生变更的,应当重新办理临时住宿登记。
第十二条 住宿学生毕业、住宿协议到期、退学、离校六个月以上的,应当及时办理退宿手续,并自退宿手续办结之日起七日内搬离宿舍。未按期搬离宿舍的,由学生工作部门、所在院系、保卫部门、学生社区管理服务中心依法依规依约相应进行处理。
第十三条 住宿学生自愿退宿的,应当提出退宿申请,经所在院系和学生工作部门批准后及时办理退宿手续。
**第四章 住宿管理**
第十四条 住宿学生应当增强安全意识、掌握安全知识技能,参加安全培训、演练等安全教育活动,提升自我管理能力、防范能力和自救逃生能力。
第十五条 住宿学生发现火情、治安或刑事案件以及安全隐患、可疑人员等,应当及时报告。</x:v>
      </x:c>
      <x:c r="I12" s="15" t="str">
        <x:v>2023.04.24 清华大学学生公寓住宿管理办法</x:v>
      </x:c>
      <x:c r="J12" s="15" t="str">
        <x:v>https://www.tsinghua.edu.cn/xssqglfwzx/info/1044/1177.htm</x:v>
      </x:c>
      <x:c r="K12" s="15" t="str">
        <x:v>UNSUPPORTED</x:v>
      </x:c>
      <x:c r="L12" s="15" t="str">
        <x:v>PARTIALLY_SUPPORTED</x:v>
      </x:c>
      <x:c r="M12" s="17" t="n">
        <x:v>0.7250610589981079</x:v>
      </x:c>
      <x:c r="N12" s="17" t="n">
        <x:v>0.999595582485199</x:v>
      </x:c>
      <x:c r="O12" s="15" t="str"/>
      <x:c r="P12" s="15" t="str">
        <x:v>V1_FAILURE_TO_V2_SUCCESS</x:v>
      </x:c>
      <x:c r="Q12" s="16" t="str"/>
      <x:c r="R12" s="16" t="str"/>
      <x:c r="S12" s="16" t="str"/>
    </x:row>
    <x:row r="13" ht="92" customHeight="1">
      <x:c r="A13" s="15" t="str">
        <x:v>CLAIM</x:v>
      </x:c>
      <x:c r="B13" s="15" t="str">
        <x:v>RET-02</x:v>
      </x:c>
      <x:c r="C13" s="15" t="str">
        <x:v>学生公寓住宿规定、入住和退宿怎么办？</x:v>
      </x:c>
      <x:c r="D13" s="15" t="str">
        <x:v>RET-02-C006</x:v>
      </x:c>
      <x:c r="E13" s="15" t="str">
        <x:v>如需调整，提前告知相关学生配合搬家。</x:v>
      </x:c>
      <x:c r="F13" s="15" t="str">
        <x:v>PROCEDURAL</x:v>
      </x:c>
      <x:c r="G13" s="15" t="str">
        <x:v>如需调整学生住宿安排,学生社区管理服务中心或院系提前告知相关学生,学生有义务配合搬家调整、集中住宿等工作。</x:v>
      </x:c>
      <x:c r="H13" s="15" t="str">
        <x:v>1.具有清华大学学籍的全日制在校学生具有申请入住学生公寓的资格。经本人提出住宿申请,学校批准同意后,应当与学生社区管理服务中心签订住宿协议,由学生社区管理服务中心统筹安排。如需调整学生住宿安排,学生社区管理服务中心或院系提前告知相关学生,学生有义务配合搬家调整、集中住宿等工作。
2.根据清华大学学生公寓住宿管理办法,学生公寓住宿分配本着分区住宿、按院系相对集中的原则进行。
3.学生按照学校规定流程办理入住手续后方可入住指定床位,未经批准不得自行调换。
4.住宿学生如遇疾病等特殊情况需要调换床位的,应向所在院系和学生社区管理服务中心提出申请,经批准后方可进行调换。
5.住宿学生毕业、住宿协议到期、退学、离校六个月以上的,应当及时办理退宿手续,并自退宿手续办结之日起七日内搬离宿舍。未按期搬离宿舍的,由学生工作部门、所在院系、保卫部门、学生社区管理服务中心依法依规依约相应进行处理。
6.住宿学生自愿退宿的,应当提出退宿申请,经所在院系和学生工作部门批准后及时办理退宿手续。已在学生公寓办理入住手续,又自行到公寓外住宿者,由此引发的一切问题,其责任自负。
7.住宿学生应当增强安全意识、掌握安全知识技能,参加安全培训、演练等安全教育活动,提升自我管理能力、防范能力和自救逃生能力。
8.住宿学生发现火情时,应及时采取报警、撤离现场等措施。发现可疑人员或治安、刑事等案件时,应保护现场,及时向公寓工作人员或保卫处报告情况。
9.学生公寓实行宿舍安全卫生秩序检查制度,住宿学生应当予以配合。检查过程中发现违规违纪行为的,检查人员应当及时制止并采取必要的措施。学生公寓工作人员不定期检查宿舍,维护宿舍安全,督促学生养成良好生活习惯。
10.在本科生公寓住宿的学生,应自觉遵守公寓熄灯规定,及时关闭电器,确保用电安全。
11.住宿学生不得将宿舍房间钥匙、门禁卡、房卡等转借他人;</x:v>
      </x:c>
      <x:c r="I13" s="15" t="str">
        <x:v>住宿注意事项</x:v>
      </x:c>
      <x:c r="J13" s="15" t="str">
        <x:v>https://www.tsinghua.edu.cn/xssqglfwzx/info/1043/1175.htm</x:v>
      </x:c>
      <x:c r="K13" s="15" t="str">
        <x:v>UNSUPPORTED</x:v>
      </x:c>
      <x:c r="L13" s="15" t="str">
        <x:v>PARTIALLY_SUPPORTED</x:v>
      </x:c>
      <x:c r="M13" s="17" t="n">
        <x:v>0.7189797759056091</x:v>
      </x:c>
      <x:c r="N13" s="17" t="n">
        <x:v>0.9992879033088684</x:v>
      </x:c>
      <x:c r="O13" s="15" t="str"/>
      <x:c r="P13" s="15" t="str">
        <x:v>V1_FAILURE_TO_V2_SUCCESS</x:v>
      </x:c>
      <x:c r="Q13" s="16" t="str"/>
      <x:c r="R13" s="16" t="str"/>
      <x:c r="S13" s="16" t="str"/>
    </x:row>
    <x:row r="14" ht="92" customHeight="1">
      <x:c r="A14" s="15" t="str">
        <x:v>CLAIM</x:v>
      </x:c>
      <x:c r="B14" s="15" t="str">
        <x:v>RET-02</x:v>
      </x:c>
      <x:c r="C14" s="15" t="str">
        <x:v>学生公寓住宿规定、入住和退宿怎么办？</x:v>
      </x:c>
      <x:c r="D14" s="15" t="str">
        <x:v>RET-02-C008</x:v>
      </x:c>
      <x:c r="E14" s="15" t="str">
        <x:v>遇疾病等特殊情况需调换床位，</x:v>
      </x:c>
      <x:c r="F14" s="15" t="str">
        <x:v>FACTUAL</x:v>
      </x:c>
      <x:c r="G14" s="15" t="str">
        <x:v>4.住宿学生如遇疾病等特殊情况需要调换床位的,应向所在院系和学生社区管理服务中心提出申请,经批准后方可进行调换。</x:v>
      </x:c>
      <x:c r="H14" s="15" t="str">
        <x:v>1.具有清华大学学籍的全日制在校学生具有申请入住学生公寓的资格。经本人提出住宿申请,学校批准同意后,应当与学生社区管理服务中心签订住宿协议,由学生社区管理服务中心统筹安排。如需调整学生住宿安排,学生社区管理服务中心或院系提前告知相关学生,学生有义务配合搬家调整、集中住宿等工作。
2.根据清华大学学生公寓住宿管理办法,学生公寓住宿分配本着分区住宿、按院系相对集中的原则进行。
3.学生按照学校规定流程办理入住手续后方可入住指定床位,未经批准不得自行调换。
4.住宿学生如遇疾病等特殊情况需要调换床位的,应向所在院系和学生社区管理服务中心提出申请,经批准后方可进行调换。
5.住宿学生毕业、住宿协议到期、退学、离校六个月以上的,应当及时办理退宿手续,并自退宿手续办结之日起七日内搬离宿舍。未按期搬离宿舍的,由学生工作部门、所在院系、保卫部门、学生社区管理服务中心依法依规依约相应进行处理。
6.住宿学生自愿退宿的,应当提出退宿申请,经所在院系和学生工作部门批准后及时办理退宿手续。已在学生公寓办理入住手续,又自行到公寓外住宿者,由此引发的一切问题,其责任自负。
7.住宿学生应当增强安全意识、掌握安全知识技能,参加安全培训、演练等安全教育活动,提升自我管理能力、防范能力和自救逃生能力。
8.住宿学生发现火情时,应及时采取报警、撤离现场等措施。发现可疑人员或治安、刑事等案件时,应保护现场,及时向公寓工作人员或保卫处报告情况。
9.学生公寓实行宿舍安全卫生秩序检查制度,住宿学生应当予以配合。检查过程中发现违规违纪行为的,检查人员应当及时制止并采取必要的措施。学生公寓工作人员不定期检查宿舍,维护宿舍安全,督促学生养成良好生活习惯。
10.在本科生公寓住宿的学生,应自觉遵守公寓熄灯规定,及时关闭电器,确保用电安全。
11.住宿学生不得将宿舍房间钥匙、门禁卡、房卡等转借他人;</x:v>
      </x:c>
      <x:c r="I14" s="15" t="str">
        <x:v>住宿注意事项</x:v>
      </x:c>
      <x:c r="J14" s="15" t="str">
        <x:v>https://www.tsinghua.edu.cn/xssqglfwzx/info/1043/1175.htm</x:v>
      </x:c>
      <x:c r="K14" s="15" t="str">
        <x:v>UNSUPPORTED</x:v>
      </x:c>
      <x:c r="L14" s="15" t="str">
        <x:v>PARTIALLY_SUPPORTED</x:v>
      </x:c>
      <x:c r="M14" s="17" t="n">
        <x:v>0.6721991300582886</x:v>
      </x:c>
      <x:c r="N14" s="17" t="n">
        <x:v>0.9998847246170044</x:v>
      </x:c>
      <x:c r="O14" s="15" t="str"/>
      <x:c r="P14" s="15" t="str">
        <x:v>V1_FAILURE_TO_V2_SUCCESS</x:v>
      </x:c>
      <x:c r="Q14" s="16" t="str"/>
      <x:c r="R14" s="16" t="str"/>
      <x:c r="S14" s="16" t="str"/>
    </x:row>
    <x:row r="15" ht="92" customHeight="1">
      <x:c r="A15" s="15" t="str">
        <x:v>CLAIM</x:v>
      </x:c>
      <x:c r="B15" s="15" t="str">
        <x:v>RET-02</x:v>
      </x:c>
      <x:c r="C15" s="15" t="str">
        <x:v>学生公寓住宿规定、入住和退宿怎么办？</x:v>
      </x:c>
      <x:c r="D15" s="15" t="str">
        <x:v>RET-02-C010</x:v>
      </x:c>
      <x:c r="E15" s="15" t="str">
        <x:v>毕业、住宿协议到期、退学</x:v>
      </x:c>
      <x:c r="F15" s="15" t="str">
        <x:v>FACTUAL</x:v>
      </x:c>
      <x:c r="G15" s="15" t="str">
        <x:v>第三章 入住与退宿：第十二条 住宿学生毕业、住宿协议到期、退学、离校六个月以上的,应当及时办理退宿手续,并自退宿手续办结之日起七日内搬离宿舍。</x:v>
      </x:c>
      <x:c r="H15" s="15" t="str">
        <x:v>学生公寓管理委员会设工作组,由学生社区管理服务中心、学生处、研究生工作部、国际合作与交流处等部门作为成员单位,通过工作组会议形式具体协调处理学生公寓住宿管理服务相关工作。
**第三章 入住与退宿**
第六条 具有学校学籍的全日制在校学生具有申请入住学生公寓的资格。学生提出住宿申请,经学校批准后方可入住。
第七条 获批住宿的学生应当与学生社区管理服务中心签订住宿协议。
第八条 学生公寓按照分区住宿、院系相对集中的原则进行住宿分配,学生社区管理服务中心具体负责相关工作。住宿学生应当服从学校住宿安排及调整。
第九条 学生办理入住手续后应当入住指定床位,不得擅自调换。住宿学生遇疾病等特殊情况确需调换床位的,应当向所在院系和学生社区管理服务中心提出申请,获批后方可进行调换。
第十条 住宿学生不得擅自到学生公寓外住宿,外出超过三天的应当提前向住宿公寓办公室备案。
第十一条 国际学生住宿期间应当持有合法有效的身份证件,并通过学生社区管理服务中心按相关规定办理临时住宿登记。登记信息发生变更的,应当重新办理临时住宿登记。
第十二条 住宿学生毕业、住宿协议到期、退学、离校六个月以上的,应当及时办理退宿手续,并自退宿手续办结之日起七日内搬离宿舍。未按期搬离宿舍的,由学生工作部门、所在院系、保卫部门、学生社区管理服务中心依法依规依约相应进行处理。
第十三条 住宿学生自愿退宿的,应当提出退宿申请,经所在院系和学生工作部门批准后及时办理退宿手续。
**第四章 住宿管理**
第十四条 住宿学生应当增强安全意识、掌握安全知识技能,参加安全培训、演练等安全教育活动,提升自我管理能力、防范能力和自救逃生能力。
第十五条 住宿学生发现火情、治安或刑事案件以及安全隐患、可疑人员等,应当及时报告。</x:v>
      </x:c>
      <x:c r="I15" s="15" t="str">
        <x:v>2023.04.24 清华大学学生公寓住宿管理办法</x:v>
      </x:c>
      <x:c r="J15" s="15" t="str">
        <x:v>https://www.tsinghua.edu.cn/xssqglfwzx/info/1044/1177.htm</x:v>
      </x:c>
      <x:c r="K15" s="15" t="str">
        <x:v>UNSUPPORTED</x:v>
      </x:c>
      <x:c r="L15" s="15" t="str">
        <x:v>PARTIALLY_SUPPORTED</x:v>
      </x:c>
      <x:c r="M15" s="17" t="n">
        <x:v>0.6729745268821716</x:v>
      </x:c>
      <x:c r="N15" s="17" t="n">
        <x:v>0.917542576789856</x:v>
      </x:c>
      <x:c r="O15" s="15" t="str"/>
      <x:c r="P15" s="15" t="str">
        <x:v>V1_FAILURE_TO_V2_SUCCESS</x:v>
      </x:c>
      <x:c r="Q15" s="16" t="str"/>
      <x:c r="R15" s="16" t="str"/>
      <x:c r="S15" s="16" t="str"/>
    </x:row>
    <x:row r="16" ht="92" customHeight="1">
      <x:c r="A16" s="15" t="str">
        <x:v>CLAIM</x:v>
      </x:c>
      <x:c r="B16" s="15" t="str">
        <x:v>RET-07</x:v>
      </x:c>
      <x:c r="C16" s="15" t="str">
        <x:v>清华学生如何获得就业指导、招聘与职业咨询？</x:v>
      </x:c>
      <x:c r="D16" s="15" t="str">
        <x:v>RET-07-C003</x:v>
      </x:c>
      <x:c r="E16" s="15" t="str">
        <x:v>生涯咨询涵盖自我了解、职业探索、方向选择、简历与面试、求职心理等方面。</x:v>
      </x:c>
      <x:c r="F16" s="15" t="str">
        <x:v>PROCEDURAL</x:v>
      </x:c>
      <x:c r="G16" s="15" t="str">
        <x:v>--- **咨询领域**:职业生涯咨询、企业就业指导、专业/职业选择与准备、简历修改、面试技巧、面试礼仪培训。</x:v>
      </x:c>
      <x:c r="H16" s="15" t="str">
        <x:v>|
| | **朱李婧**,深圳国际研究生院职业发展指导中心国际与跨文化项目主管,美国加州大学欧文分校公共政策硕士,曾任职于院学生全球胜任力中心。 --- **咨询领域**:职业生涯选择与发展、外企/政府/海外高校就业指导、国际组织就业规划、中英文简历修改、双语模拟面试, 海外就业选择咨询、面试礼仪、个人发展规划。 |
| | **陈旭东**,深圳国际研究生院职业发展指导中心老师,清华大学公共管理硕士,GCDF全球生涯规划师,国家人力资源二级、CISET国际注册高级礼仪培训师。 --- **咨询领域**:职业生涯咨询、企业就业指导、专业/职业选择与准备、简历修改、面试技巧、面试礼仪培训。 |
| | **董亮**,深圳国际研究生院职业发展指导中心老师,清华大学法律硕士。 --- **咨询领域**:公共服务部门就业指导、专业/职业选择与准备、简历修改、面试技巧、职业生涯规划、选调政策解读。 |
| | **赵梦圆**,深圳国际研究生院职业发展指导中心老师,澳大利亚悉尼大学商学硕士,GCDF全球生涯规划师。 --- **咨询领域**:职业生涯咨询、国际组织实习及就业指导、双语模拟面试、简历修改。 |
**六、就业政策咨询**
| | |
| --- | --- |
| | **张杨**,文学博士,讲师,清华大学学生职业发展指导中心校地人才合作与综合办公室主任。 --- **咨询领域**:大学生就业政策、企事业单位就业等。 |
| | |
**在校生预约咨询方式:**
**预约方式一:**请先于首页登录(用户名和密码同info信息门户),然后点击左侧快速通道的咨询预约链接,查询咨询师个人信息,预约个体咨询。([操作视频](https://m.v.qq.com/z/msite/play-short/index.html?</x:v>
      </x:c>
      <x:c r="I16" s="15" t="str">
        <x:v>个体咨询（校内导师）</x:v>
      </x:c>
      <x:c r="J16" s="15" t="str">
        <x:v>https://career.tsinghua.edu.cn/info/1008/2435.htm</x:v>
      </x:c>
      <x:c r="K16" s="15" t="str">
        <x:v>PARTIALLY_SUPPORTED</x:v>
      </x:c>
      <x:c r="L16" s="15" t="str">
        <x:v>PARTIALLY_SUPPORTED</x:v>
      </x:c>
      <x:c r="M16" s="17" t="n">
        <x:v>0.7325136661529541</x:v>
      </x:c>
      <x:c r="N16" s="17" t="n">
        <x:v>0.8832216858863831</x:v>
      </x:c>
      <x:c r="O16" s="15" t="str"/>
      <x:c r="P16" s="15" t="str">
        <x:v>PARTIALLY_SUPPORTED</x:v>
      </x:c>
      <x:c r="Q16" s="16" t="str"/>
      <x:c r="R16" s="16" t="str"/>
      <x:c r="S16" s="16" t="str"/>
    </x:row>
    <x:row r="17" ht="92" customHeight="1">
      <x:c r="A17" s="15" t="str">
        <x:v>CLAIM</x:v>
      </x:c>
      <x:c r="B17" s="15" t="str">
        <x:v>RET-07</x:v>
      </x:c>
      <x:c r="C17" s="15" t="str">
        <x:v>清华学生如何获得就业指导、招聘与职业咨询？</x:v>
      </x:c>
      <x:c r="D17" s="15" t="str">
        <x:v>RET-07-C005</x:v>
      </x:c>
      <x:c r="E17" s="15" t="str">
        <x:v>可为不同学历、不同年级的学生提供系统性的生涯辅导。</x:v>
      </x:c>
      <x:c r="F17" s="15" t="str">
        <x:v>ENTITY</x:v>
      </x:c>
      <x:c r="G17" s="15" t="str">
        <x:v>--- **咨询领域**:各学科学生专业/职业选择与发展,可为不同学历、不同年级的学生提供系统性的生涯辅导。|</x:v>
      </x:c>
      <x:c r="H17" s="15" t="str">
        <x:v>--- **咨询领域**:各学科学生专业/职业选择与发展,可为不同学历、不同年级的学生提供系统性的生涯辅导。 |
| | **詹逸思**,教育学博士,副教授,清华大学学生学习与发展指导中心副主任。10年职业咨询经验,累计讲授大学生学习发展讲座、工作坊350场,一对一咨询1700余小时,学生咨询满意率保持在95%以上。通过专业咨询资质包括:全球职业规划师(GCDF,美国认证与教育中心,2012-),注册生涯教练(BCC)(美国认证与教育中心,2015-),MBTI施测师(2016-),全国三级心理咨询师(2017-),4D卓越团队与领导力培训师(2019-),Strong Interest Inventory施测师(20-)。 --- **咨询领域**:专业选择与申请准备,学习能力提升,读研选择与准备,职业发展规划,教育学学术科研。可提供中英双语咨询。 |
| | **周思彤**,文学硕士,现任清华大学计算机科学与技术系党委办公室教师,负责学生就业、实践及学生发展。生涯规划师(BCF, 20-), 全球职业规划师(GCDF,20-),全球生涯教练(BCC,2022-)。 --- **咨询领域**:专业/职业选择与准备、简历修改、面试技巧、信息行业的职业选择与发展。 |
**五、深圳国际研究生院职业咨询师**
| | |
| --- | --- |
| | **梁大伟**,深圳国际研究生院职业发展指导中心主任,清华大学法律硕士,曾任院团委书记。 --- **咨询领域**:有志于在公共部门、重点行业与单位工作的在校生和青年校友提供个人选择与发展咨询、公考政策与考试技能提升等一对一咨询。 |
| | **朱李婧**,深圳国际研究生院职业发展指导中心国际与跨文化项目主管,美国加州大学欧文分校公共政策硕士,曾任职于院学生全球胜任力中心。</x:v>
      </x:c>
      <x:c r="I17" s="15" t="str">
        <x:v>个体咨询（校内导师）</x:v>
      </x:c>
      <x:c r="J17" s="15" t="str">
        <x:v>https://career.tsinghua.edu.cn/info/1008/2435.htm</x:v>
      </x:c>
      <x:c r="K17" s="15" t="str">
        <x:v>UNSUPPORTED</x:v>
      </x:c>
      <x:c r="L17" s="15" t="str">
        <x:v>PARTIALLY_SUPPORTED</x:v>
      </x:c>
      <x:c r="M17" s="17" t="n">
        <x:v>0.7195076942443848</x:v>
      </x:c>
      <x:c r="N17" s="17" t="n">
        <x:v>0.9999396800994873</x:v>
      </x:c>
      <x:c r="O17" s="15" t="str"/>
      <x:c r="P17" s="15" t="str">
        <x:v>V1_FAILURE_TO_V2_SUCCESS</x:v>
      </x:c>
      <x:c r="Q17" s="16" t="str"/>
      <x:c r="R17" s="16" t="str"/>
      <x:c r="S17" s="16" t="str"/>
    </x:row>
    <x:row r="18" ht="92" customHeight="1">
      <x:c r="A18" s="15" t="str">
        <x:v>CLAIM</x:v>
      </x:c>
      <x:c r="B18" s="15" t="str">
        <x:v>PROV-001</x:v>
      </x:c>
      <x:c r="C18" s="15" t="str">
        <x:v>本科新生不能按时报到时如何请假或申请保留入学资格？</x:v>
      </x:c>
      <x:c r="D18" s="15" t="str">
        <x:v>PROV-001-C003</x:v>
      </x:c>
      <x:c r="E18" s="15" t="str">
        <x:v>并申请保留入学资格。</x:v>
      </x:c>
      <x:c r="F18" s="15" t="str">
        <x:v>PROCEDURAL</x:v>
      </x:c>
      <x:c r="G18" s="15" t="str">
        <x:v>第二章 入学与注册：第五条 新生可以向学校申请保留入学资格。</x:v>
      </x:c>
      <x:c r="H18" s="15" t="str">
        <x:v>(经2016~2017学年度第25次校务会议通过,2019~20学年度第30次校务会议修订)
**第一章 总则**
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
第二条 本规定适用于对全校本科生的学籍管理。
**第二章 入学与注册**
第三条 按国家招生规定、经由我校正式录取的本科生新生,应当持《清华大学录取通知书》,按学校有关要求和规定的期限到校办理入学手续。因故不能按期入学的,应当提前向录取学院、学系(以下简称院系)按要求正式请假。未请假或者请假逾期的,除因不可抗力等正当事由以外,视为放弃入学资格。
第四条 学校在新生报到时对新生入学资格进行初步审查,审查合格的办理入学手续,予以注册学籍。审查发现新生的录取通知、考生信息等证明材料与本人实际情况和学校录取信息不符,或者有其他违反国家招生考试规定等情形的,取消入学资格。
第五条 新生可以向学校申请保留入学资格。保留入学资格时间原则上不超过两年,应征参加中国人民解放军(含中国人民武装警察部队)的,保留入学资格至退役后两年。新生保留入学资格期间不具有学籍,不享受在校学习学生待遇。新生保留入学资格期满前,应当向学校申请入学,经学校审查合格后,办理入学手续。审查不合格的,取消入学资格;逾期不办理入学手续且未有因不可抗力延迟等正当理由的,视为放弃入学资格。
第六条 新生入学后,学校在3个月内按照国家招生规定进行复查。
复查中发现学生存在弄虚作假、徇私舞弊等情形的,确定为复查不合格,取消学籍;情节严重的,移交有关部门调查处理。</x:v>
      </x:c>
      <x:c r="I18" s="15" t="str">
        <x:v>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x:v>
      </x:c>
      <x:c r="J18" s="15" t="str">
        <x:v>https://qzc.tsinghua.edu.cn/info/1029/1444.htm</x:v>
      </x:c>
      <x:c r="K18" s="15" t="str">
        <x:v>UNSUPPORTED</x:v>
      </x:c>
      <x:c r="L18" s="15" t="str">
        <x:v>PARTIALLY_SUPPORTED</x:v>
      </x:c>
      <x:c r="M18" s="17" t="n">
        <x:v>0.7268317937850952</x:v>
      </x:c>
      <x:c r="N18" s="17" t="n">
        <x:v>0.9963598847389221</x:v>
      </x:c>
      <x:c r="O18" s="15" t="str"/>
      <x:c r="P18" s="15" t="str">
        <x:v>V1_FAILURE_TO_V2_SUCCESS</x:v>
      </x:c>
      <x:c r="Q18" s="16" t="str"/>
      <x:c r="R18" s="16" t="str"/>
      <x:c r="S18" s="16" t="str"/>
    </x:row>
    <x:row r="19" ht="92" customHeight="1">
      <x:c r="A19" s="15" t="str">
        <x:v>CLAIM</x:v>
      </x:c>
      <x:c r="B19" s="15" t="str">
        <x:v>RET-02</x:v>
      </x:c>
      <x:c r="C19" s="15" t="str">
        <x:v>学生公寓住宿规定、入住和退宿怎么办？</x:v>
      </x:c>
      <x:c r="D19" s="15" t="str">
        <x:v>RET-02-C005</x:v>
      </x:c>
      <x:c r="E19" s="15" t="str">
        <x:v>学生社区管理服务中心统筹安排。</x:v>
      </x:c>
      <x:c r="F19" s="15" t="str">
        <x:v>ENTITY</x:v>
      </x:c>
      <x:c r="G19" s="15" t="str">
        <x:v>经本人提出住宿申请,学校批准同意后,应当与学生社区管理服务中心签订住宿协议,由学生社区管理服务中心统筹安排。</x:v>
      </x:c>
      <x:c r="H19" s="15" t="str">
        <x:v>1.具有清华大学学籍的全日制在校学生具有申请入住学生公寓的资格。经本人提出住宿申请,学校批准同意后,应当与学生社区管理服务中心签订住宿协议,由学生社区管理服务中心统筹安排。如需调整学生住宿安排,学生社区管理服务中心或院系提前告知相关学生,学生有义务配合搬家调整、集中住宿等工作。
2.根据清华大学学生公寓住宿管理办法,学生公寓住宿分配本着分区住宿、按院系相对集中的原则进行。
3.学生按照学校规定流程办理入住手续后方可入住指定床位,未经批准不得自行调换。
4.住宿学生如遇疾病等特殊情况需要调换床位的,应向所在院系和学生社区管理服务中心提出申请,经批准后方可进行调换。
5.住宿学生毕业、住宿协议到期、退学、离校六个月以上的,应当及时办理退宿手续,并自退宿手续办结之日起七日内搬离宿舍。未按期搬离宿舍的,由学生工作部门、所在院系、保卫部门、学生社区管理服务中心依法依规依约相应进行处理。
6.住宿学生自愿退宿的,应当提出退宿申请,经所在院系和学生工作部门批准后及时办理退宿手续。已在学生公寓办理入住手续,又自行到公寓外住宿者,由此引发的一切问题,其责任自负。
7.住宿学生应当增强安全意识、掌握安全知识技能,参加安全培训、演练等安全教育活动,提升自我管理能力、防范能力和自救逃生能力。
8.住宿学生发现火情时,应及时采取报警、撤离现场等措施。发现可疑人员或治安、刑事等案件时,应保护现场,及时向公寓工作人员或保卫处报告情况。
9.学生公寓实行宿舍安全卫生秩序检查制度,住宿学生应当予以配合。检查过程中发现违规违纪行为的,检查人员应当及时制止并采取必要的措施。学生公寓工作人员不定期检查宿舍,维护宿舍安全,督促学生养成良好生活习惯。
10.在本科生公寓住宿的学生,应自觉遵守公寓熄灯规定,及时关闭电器,确保用电安全。
11.住宿学生不得将宿舍房间钥匙、门禁卡、房卡等转借他人;</x:v>
      </x:c>
      <x:c r="I19" s="15" t="str">
        <x:v>住宿注意事项</x:v>
      </x:c>
      <x:c r="J19" s="15" t="str">
        <x:v>https://www.tsinghua.edu.cn/xssqglfwzx/info/1043/1175.htm</x:v>
      </x:c>
      <x:c r="K19" s="15" t="str">
        <x:v>UNSUPPORTED</x:v>
      </x:c>
      <x:c r="L19" s="15" t="str">
        <x:v>UNSUPPORTED</x:v>
      </x:c>
      <x:c r="M19" s="17" t="n">
        <x:v>0.6571676135063171</x:v>
      </x:c>
      <x:c r="N19" s="17" t="n">
        <x:v>0.9997841715812683</x:v>
      </x:c>
      <x:c r="O19" s="15" t="str"/>
      <x:c r="P19" s="15" t="str">
        <x:v>UNSUPPORTED</x:v>
      </x:c>
      <x:c r="Q19" s="16" t="str"/>
      <x:c r="R19" s="16" t="str"/>
      <x:c r="S19" s="16" t="str"/>
    </x:row>
    <x:row r="20" ht="92" customHeight="1">
      <x:c r="A20" s="15" t="str">
        <x:v>CLAIM</x:v>
      </x:c>
      <x:c r="B20" s="15" t="str">
        <x:v>RET-02</x:v>
      </x:c>
      <x:c r="C20" s="15" t="str">
        <x:v>学生公寓住宿规定、入住和退宿怎么办？</x:v>
      </x:c>
      <x:c r="D20" s="15" t="str">
        <x:v>RET-02-C009</x:v>
      </x:c>
      <x:c r="E20" s="15" t="str">
        <x:v>应向院系和学生社区管理服务中心申请。</x:v>
      </x:c>
      <x:c r="F20" s="15" t="str">
        <x:v>PROCEDURAL</x:v>
      </x:c>
      <x:c r="G20" s="15" t="str">
        <x:v>经本人提出住宿申请,学校批准同意后,应当与学生社区管理服务中心签订住宿协议,由学生社区管理服务中心统筹安排。</x:v>
      </x:c>
      <x:c r="H20" s="15" t="str">
        <x:v>1.具有清华大学学籍的全日制在校学生具有申请入住学生公寓的资格。经本人提出住宿申请,学校批准同意后,应当与学生社区管理服务中心签订住宿协议,由学生社区管理服务中心统筹安排。如需调整学生住宿安排,学生社区管理服务中心或院系提前告知相关学生,学生有义务配合搬家调整、集中住宿等工作。
2.根据清华大学学生公寓住宿管理办法,学生公寓住宿分配本着分区住宿、按院系相对集中的原则进行。
3.学生按照学校规定流程办理入住手续后方可入住指定床位,未经批准不得自行调换。
4.住宿学生如遇疾病等特殊情况需要调换床位的,应向所在院系和学生社区管理服务中心提出申请,经批准后方可进行调换。
5.住宿学生毕业、住宿协议到期、退学、离校六个月以上的,应当及时办理退宿手续,并自退宿手续办结之日起七日内搬离宿舍。未按期搬离宿舍的,由学生工作部门、所在院系、保卫部门、学生社区管理服务中心依法依规依约相应进行处理。
6.住宿学生自愿退宿的,应当提出退宿申请,经所在院系和学生工作部门批准后及时办理退宿手续。已在学生公寓办理入住手续,又自行到公寓外住宿者,由此引发的一切问题,其责任自负。
7.住宿学生应当增强安全意识、掌握安全知识技能,参加安全培训、演练等安全教育活动,提升自我管理能力、防范能力和自救逃生能力。
8.住宿学生发现火情时,应及时采取报警、撤离现场等措施。发现可疑人员或治安、刑事等案件时,应保护现场,及时向公寓工作人员或保卫处报告情况。
9.学生公寓实行宿舍安全卫生秩序检查制度,住宿学生应当予以配合。检查过程中发现违规违纪行为的,检查人员应当及时制止并采取必要的措施。学生公寓工作人员不定期检查宿舍,维护宿舍安全,督促学生养成良好生活习惯。
10.在本科生公寓住宿的学生,应自觉遵守公寓熄灯规定,及时关闭电器,确保用电安全。
11.住宿学生不得将宿舍房间钥匙、门禁卡、房卡等转借他人;</x:v>
      </x:c>
      <x:c r="I20" s="15" t="str">
        <x:v>住宿注意事项</x:v>
      </x:c>
      <x:c r="J20" s="15" t="str">
        <x:v>https://www.tsinghua.edu.cn/xssqglfwzx/info/1043/1175.htm</x:v>
      </x:c>
      <x:c r="K20" s="15" t="str">
        <x:v>UNSUPPORTED</x:v>
      </x:c>
      <x:c r="L20" s="15" t="str">
        <x:v>UNSUPPORTED</x:v>
      </x:c>
      <x:c r="M20" s="17" t="n">
        <x:v>0.6168354749679565</x:v>
      </x:c>
      <x:c r="N20" s="17" t="n">
        <x:v>0.9187688827514648</x:v>
      </x:c>
      <x:c r="O20" s="15" t="str">
        <x:v>ENTITY_MISMATCH</x:v>
      </x:c>
      <x:c r="P20" s="15" t="str">
        <x:v>UNSUPPORTED</x:v>
      </x:c>
      <x:c r="Q20" s="16" t="str"/>
      <x:c r="R20" s="16" t="str"/>
      <x:c r="S20" s="16" t="str"/>
    </x:row>
    <x:row r="21" ht="92" customHeight="1">
      <x:c r="A21" s="15" t="str">
        <x:v>CLAIM</x:v>
      </x:c>
      <x:c r="B21" s="15" t="str">
        <x:v>RET-03</x:v>
      </x:c>
      <x:c r="C21" s="15" t="str">
        <x:v>清华校园网如何接入，账号或网络故障如何处理？</x:v>
      </x:c>
      <x:c r="D21" s="15" t="str">
        <x:v>RET-03-C002</x:v>
      </x:c>
      <x:c r="E21" s="15" t="str">
        <x:v>账号或网络故障可联系热线服务或在线服务进行处理。</x:v>
      </x:c>
      <x:c r="F21" s="15" t="str">
        <x:v>PROCEDURAL</x:v>
      </x:c>
      <x:c r="G21" s="15" t="str">
        <x:v>二、服务人员：用户服务团队设有热线接待组、上门服务组和服务支持组。</x:v>
      </x:c>
      <x:c r="H21" s="15" t="str">
        <x:v>**一、服务介绍**
清华大学信息化用户服务的主要内容是:
1. 接待来访服务:面向全校个人用户,接待来访用户,提供信息系统统一用户及校园网账号申请相关问题处理;接收校园网中各类资源的使用申请;校内有线电视使用办理;校园网及信息系统、校园正版软件使用指导等服务。
2. 热线服务:提供7\*14小时的人工热线电话,对用户在使用校园网、信息系统、有线电视、公共软件等过程中遇到的问题进行解答帮助或者接收报修。
3. 在线服务:接收用户通过服务邮箱([its@tsinghua.edu.cn](mailto:its@tsinghua.edu.cn))、服务网站([its.tsinghua.edu.cn](https://its.tsinghua.edu.cn/))及清华大学信息服务企业微信中的“信息化服务—服务支持—我要报修”提交的问题,并进行处理。
4. 上门服务:对校园网、有线电视个人用户提供上门维修服务。
5. 单位IT维护服务:为校内单位提供有线电视的接入与维护、单位计算机系统维护等服务。
**二、服务人员**
用户服务团队设有热线接待组、上门服务组和服务支持组。
**三、主要业绩**
1. 面向全校师生提供热线电话、邮件咨询、来访接待和上门服务,全年接待用户、受理电话、邮件及微信咨询超过8万人次,上门服务近3000人次。
2. 为校内有线电视用户提供服务,保障系统稳定运行,每年有线电视线路及机房巡检1500多次。
3. 为全校师生提供校园正版软件服务,每年面向师生组织12场次以上软件使用培训。
![](/__local/9/24/FA/88F98651B2B0EC90F9B08030987_9228C318_DD790.png)
图1 用户服务大厅</x:v>
      </x:c>
      <x:c r="I21" s="15" t="str">
        <x:v>用户服务</x:v>
      </x:c>
      <x:c r="J21" s="15" t="str">
        <x:v>https://www.itc.tsinghua.edu.cn/ggfwsd/fsdf.htm</x:v>
      </x:c>
      <x:c r="K21" s="15" t="str">
        <x:v>UNSUPPORTED</x:v>
      </x:c>
      <x:c r="L21" s="15" t="str">
        <x:v>UNSUPPORTED</x:v>
      </x:c>
      <x:c r="M21" s="17" t="n">
        <x:v>0.6190779209136963</x:v>
      </x:c>
      <x:c r="N21" s="17" t="n">
        <x:v>0.16162528097629547</x:v>
      </x:c>
      <x:c r="O21" s="15" t="str">
        <x:v>PROCEDURAL_MISMATCH</x:v>
      </x:c>
      <x:c r="P21" s="15" t="str">
        <x:v>UNSUPPORTED</x:v>
      </x:c>
      <x:c r="Q21" s="16" t="str"/>
      <x:c r="R21" s="16" t="str"/>
      <x:c r="S21" s="16" t="str"/>
    </x:row>
    <x:row r="22" ht="92" customHeight="1">
      <x:c r="A22" s="15" t="str">
        <x:v>CLAIM</x:v>
      </x:c>
      <x:c r="B22" s="15" t="str">
        <x:v>RET-04</x:v>
      </x:c>
      <x:c r="C22" s="15" t="str">
        <x:v>清华校医院门诊、报销和就医流程是什么？</x:v>
      </x:c>
      <x:c r="D22" s="15" t="str">
        <x:v>RET-04-C001</x:v>
      </x:c>
      <x:c r="E22" s="15" t="str">
        <x:v>清华校医院：门诊-检验医学科、输血科、超声科等；</x:v>
      </x:c>
      <x:c r="F22" s="15" t="str">
        <x:v>ENTITY</x:v>
      </x:c>
      <x:c r="G22" s="15" t="str">
        <x:v>[检验医学科](https://www.med.tsinghua.edu.cn/bj/ystd/yj1/jyyxk.htm)[输血科](https://www.med.tsinghua.edu.cn/bj/ystd/yj1/sxk.htm)[超声科](https://www.med.tsinghua.edu.cn/bj/ystd/yj1/csk.htm)</x:v>
      </x:c>
      <x:c r="H22" s="15" t="str">
        <x:v>[检验医学科](https://www.med.tsinghua.edu.cn/bj/ystd/yj1/jyyxk.htm)
[输血科](https://www.med.tsinghua.edu.cn/bj/ystd/yj1/sxk.htm)
[超声科](https://www.med.tsinghua.edu.cn/bj/ystd/yj1/csk.htm)
[药剂科](https://www.med.tsinghua.edu.cn/bj/ystd/yj1/yjk.htm)
[临床药学科](https://www.med.tsinghua.edu.cn/bj/ystd/yj1/lcyxk.htm)
[临床营养科](https://www.med.tsinghua.edu.cn/bj/ystd/yj1/lcyyk.htm)
[放射诊断科](https://www.med.tsinghua.edu.cn/bj/ystd/yj1/fszdk.htm)
[核医学科](https://www.med.tsinghua.edu.cn/bj/ystd/yj1/hyxk.htm)
[全科与健康医学部](https://www.med.tsinghua.edu.cn/bj/ystd/yj2/qkyxk.htm)
[全科医学科](https://www.med.tsinghua.edu.cn/bj/ystd/yj2/qkyxk.htm)
[健康管理中心](https://www.med.tsinghua.edu.cn/bj/ystd/yj2/jkglzx.htm)
[肝胆胰中心](https://www.med.tsinghua.edu.cn/bj/ystd/yj3/gdywk.htm)</x:v>
      </x:c>
      <x:c r="I22" s="15" t="str">
        <x:v>清华大学玉泉医院</x:v>
      </x:c>
      <x:c r="J22" s="15" t="str">
        <x:v>https://www.med.tsinghua.edu.cn/tlff/qhdxyqyy.htm</x:v>
      </x:c>
      <x:c r="K22" s="15" t="str">
        <x:v>UNSUPPORTED</x:v>
      </x:c>
      <x:c r="L22" s="15" t="str">
        <x:v>UNSUPPORTED</x:v>
      </x:c>
      <x:c r="M22" s="17" t="n">
        <x:v>0.7188682556152344</x:v>
      </x:c>
      <x:c r="N22" s="17" t="n">
        <x:v>0.39384549856185913</x:v>
      </x:c>
      <x:c r="O22" s="15" t="str">
        <x:v>ENTITY_MISMATCH</x:v>
      </x:c>
      <x:c r="P22" s="15" t="str">
        <x:v>UNSUPPORTED</x:v>
      </x:c>
      <x:c r="Q22" s="16" t="str"/>
      <x:c r="R22" s="16" t="str"/>
      <x:c r="S22" s="16" t="str"/>
    </x:row>
    <x:row r="23" ht="92" customHeight="1">
      <x:c r="A23" s="15" t="str">
        <x:v>CLAIM</x:v>
      </x:c>
      <x:c r="B23" s="15" t="str">
        <x:v>RET-04</x:v>
      </x:c>
      <x:c r="C23" s="15" t="str">
        <x:v>清华校医院门诊、报销和就医流程是什么？</x:v>
      </x:c>
      <x:c r="D23" s="15" t="str">
        <x:v>RET-04-C002</x:v>
      </x:c>
      <x:c r="E23" s="15" t="str">
        <x:v>报销需咨询财务部门；</x:v>
      </x:c>
      <x:c r="F23" s="15" t="str">
        <x:v>UNCERTAIN</x:v>
      </x:c>
      <x:c r="G23" s="15" t="str">
        <x:v>[健康管理中心](https://www.med.tsinghua.edu.cn/bj/ystd/yj2/jkglzx.htm)[肝胆胰中心](https://www.med.tsinghua.edu.cn/bj/ystd/yj3/gdywk.htm)</x:v>
      </x:c>
      <x:c r="H23" s="15" t="str">
        <x:v>[全科与健康医学部](https://www.med.tsinghua.edu.cn/bj/ystd/yj2/qkyxk.htm)
[全科医学科](https://www.med.tsinghua.edu.cn/bj/ystd/yj2/qkyxk.htm)
[健康管理中心](https://www.med.tsinghua.edu.cn/bj/ystd/yj2/jkglzx.htm)
[肝胆胰中心](https://www.med.tsinghua.edu.cn/bj/ystd/yj3/gdywk.htm)
[肝胆胰外科](https://www.med.tsinghua.edu.cn/bj/ystd/yj3/gdywk.htm)
[肝胆内科](https://www.med.tsinghua.edu.cn/bj/ystd/yj3/gdnk.htm)
[肝胆介入科](https://www.med.tsinghua.edu.cn/bj/ystd/yj3/gdjrk.htm)
[肝胆肿瘤科](https://www.med.tsinghua.edu.cn/bj/ystd/yj3/gdzlk.htm)
[儿童肝病科](https://www.med.tsinghua.edu.cn/bj/ystd/yj3/etgbk.htm)
[肝脏ICU](https://www.med.tsinghua.edu.cn/bj/ystd/yj3/gzICU.htm)
[肝移植科](https://www.med.tsinghua.edu.cn/bj/ystd/yj3/gyzk.htm)
[肝胆研究实验室](https://www.med.tsinghua.edu.cn/bj/ystd/yj3/gdyjsys.htm)</x:v>
      </x:c>
      <x:c r="I23" s="15" t="str">
        <x:v>北京华信医院（清华大学第一附属医院）</x:v>
      </x:c>
      <x:c r="J23" s="15" t="str">
        <x:v>https://www.med.tsinghua.edu.cn/tlff/bjhxyy_qhdxdyfsyy.htm</x:v>
      </x:c>
      <x:c r="K23" s="15" t="str">
        <x:v>UNSUPPORTED</x:v>
      </x:c>
      <x:c r="L23" s="15" t="str">
        <x:v>UNSUPPORTED</x:v>
      </x:c>
      <x:c r="M23" s="17" t="n">
        <x:v>0.43810728192329407</x:v>
      </x:c>
      <x:c r="N23" s="17" t="n">
        <x:v>0.00003731765173142776</x:v>
      </x:c>
      <x:c r="O23" s="15" t="str">
        <x:v>PROCEDURAL_MISMATCH</x:v>
      </x:c>
      <x:c r="P23" s="15" t="str">
        <x:v>UNSUPPORTED</x:v>
      </x:c>
      <x:c r="Q23" s="16" t="str"/>
      <x:c r="R23" s="16" t="str"/>
      <x:c r="S23" s="16" t="str"/>
    </x:row>
    <x:row r="24" ht="92" customHeight="1">
      <x:c r="A24" s="15" t="str">
        <x:v>CLAIM</x:v>
      </x:c>
      <x:c r="B24" s="15" t="str">
        <x:v>RET-04</x:v>
      </x:c>
      <x:c r="C24" s="15" t="str">
        <x:v>清华校医院门诊、报销和就医流程是什么？</x:v>
      </x:c>
      <x:c r="D24" s="15" t="str">
        <x:v>RET-04-C003</x:v>
      </x:c>
      <x:c r="E24" s="15" t="str">
        <x:v>就医流程可至官网查询。</x:v>
      </x:c>
      <x:c r="F24" s="15" t="str">
        <x:v>UNCERTAIN</x:v>
      </x:c>
      <x:c r="G24" s="15" t="str">
        <x:v>[就医指南](https://www.med.tsinghua.edu.cn/bj/jyzn.htm)</x:v>
      </x:c>
      <x:c r="H24" s="15" t="str">
        <x:v>[首页](https://www.med.tsinghua.edu.cn/index.htm)
/
[医疗服务](https://www.med.tsinghua.edu.cn/bj.htm)
/
[北京华信医院(清华大学第一附属医院)](https://www.med.tsinghua.edu.cn/bjhxyy_qhdxdyfsyy.htm)
- [北京清华长庚医院](https://www.med.tsinghua.edu.cn/bj.htm)
- [医院介绍](https://www.med.tsinghua.edu.cn/bj/yyjs.htm)
- [就医指南](https://www.med.tsinghua.edu.cn/bj/jyzn.htm)
- [医师团队](https://www.med.tsinghua.edu.cn/bj/ystd.htm) [内科部](https://www.med.tsinghua.edu.cn/bj/ystd/nk/nfmydxk.htm)
[内分泌与代谢科](https://www.med.tsinghua.edu.cn/bj/ystd/nk/nfmydxk.htm)
[感染性疾病科](https://www.med.tsinghua.edu.cn/bj/ystd/nk/grxjbk.htm)
[消化内科](https://www.med.tsinghua.edu.cn/bj/ystd/nk/xhnk.htm)
[肾脏内科](https://www.med.tsinghua.edu.cn/bj/ystd/nk/sznk.htm)
[心血管内科](https://www.med.tsinghua.edu.cn/bj/ystd/nk/xxgnk.htm)</x:v>
      </x:c>
      <x:c r="I24" s="15" t="str">
        <x:v>北京华信医院（清华大学第一附属医院）</x:v>
      </x:c>
      <x:c r="J24" s="15" t="str">
        <x:v>https://www.med.tsinghua.edu.cn/tlff/bjhxyy_qhdxdyfsyy.htm</x:v>
      </x:c>
      <x:c r="K24" s="15" t="str">
        <x:v>UNSUPPORTED</x:v>
      </x:c>
      <x:c r="L24" s="15" t="str">
        <x:v>UNSUPPORTED</x:v>
      </x:c>
      <x:c r="M24" s="17" t="n">
        <x:v>0.7428479194641113</x:v>
      </x:c>
      <x:c r="N24" s="17" t="n">
        <x:v>0.9488876461982727</x:v>
      </x:c>
      <x:c r="O24" s="15" t="str">
        <x:v>PROCEDURAL_MISMATCH</x:v>
      </x:c>
      <x:c r="P24" s="15" t="str">
        <x:v>UNSUPPORTED</x:v>
      </x:c>
      <x:c r="Q24" s="16" t="str"/>
      <x:c r="R24" s="16" t="str"/>
      <x:c r="S24" s="16" t="str"/>
    </x:row>
    <x:row r="25" ht="92" customHeight="1">
      <x:c r="A25" s="15" t="str">
        <x:v>CLAIM</x:v>
      </x:c>
      <x:c r="B25" s="15" t="str">
        <x:v>RET-06</x:v>
      </x:c>
      <x:c r="C25" s="15" t="str">
        <x:v>清华学生奖学金、助学金申请和评选办法是什么？</x:v>
      </x:c>
      <x:c r="D25" s="15" t="str">
        <x:v>RET-06-C003</x:v>
      </x:c>
      <x:c r="E25" s="15" t="str">
        <x:v>评选条件包括基本申请条件、道德品质优秀、学风端正、全面发展等。</x:v>
      </x:c>
      <x:c r="F25" s="15" t="str">
        <x:v>PROCEDURAL</x:v>
      </x:c>
      <x:c r="G25" s="15" t="str">
        <x:v>清华大学特等奖学金评选办法 - 清华大学信息门户：(二)道德品质优秀,模范遵守法律法规以及校规校纪;(三)学风端正,学业成绩优良;</x:v>
      </x:c>
      <x:c r="H25" s="15" t="str">
        <x:v># 清华大学特等奖学金评选办法 - 清华大学信息门户
- Source: https://info.tsinghua.edu.cn/f/info/xxfb_fg/xnzx/template/detail?xxid=ad6e98bc019644df97dadbbff29f8964
关闭
清华大学特等奖学金评选办法
规章制度
学生部 2025-11-19 10:44
清华大学特等奖学金评选办法
(经2019~2020学年度第3次校务会议审议通过)
第一条 为了更好地鼓励引导全校学生肩负使命、追求卓越,进一步规范特等奖学金评选工作,制定本办法。
第二条 特等奖学金面向全体本科生、研究生分别组织评选,评选组织工作由学生处、研究生院(以下简称评选机构)分别承担。
特等奖学金每年评选一次,每次表彰不超过二十名学生,其中本科生、研究生均不超过十名。
第三条 特等奖学金评选条件
(一)符合《清华大学学生奖学金管理规定》规定的基本申请条件;
(二)道德品质优秀,模范遵守法律法规以及校规校纪;
(三)学风端正,学业成绩优良;
(四)在校期间全面发展、表现优秀,或者在某一方面有突出表现,或者为国家、社会、学校做出突出贡献。
评选机构负责根据评选条件制定相应的特等奖学金评选标准。
第四条 特等奖学金评选程序
(一)评选机构发布评选通知;
(二)学生本人按照评选通知要求提出申请,所在院系负责进行申请资格审查,审核并组织公示申请材料,并负责将最终推荐参评名单及申请材料统一提交评选机构;
(三)评选机构组织初评,形成候选人名单,在学校信息门户网站对候选人名单进行公示;
(四)评选机构通过现场答辩形式组织复评,形成推荐名单,提请校务会议审议;
(五)校务会议讨论决定特等奖学金表彰名单;
(六)特等奖学金表彰名单在学校信息门户网站予以公示。</x:v>
      </x:c>
      <x:c r="I25" s="15" t="str">
        <x:v>清华大学特等奖学金评选办法 - 清华大学信息门户</x:v>
      </x:c>
      <x:c r="J25" s="15" t="str">
        <x:v>https://info.tsinghua.edu.cn/f/info/xxfb_fg/xnzx/template/detail?xxid=ad6e98bc019644df97dadbbff29f8964</x:v>
      </x:c>
      <x:c r="K25" s="15" t="str">
        <x:v>UNSUPPORTED</x:v>
      </x:c>
      <x:c r="L25" s="15" t="str">
        <x:v>UNSUPPORTED</x:v>
      </x:c>
      <x:c r="M25" s="17" t="n">
        <x:v>0.6633623838424683</x:v>
      </x:c>
      <x:c r="N25" s="17" t="n">
        <x:v>0.9953355193138123</x:v>
      </x:c>
      <x:c r="O25" s="15" t="str">
        <x:v>PROCEDURAL_MISMATCH</x:v>
      </x:c>
      <x:c r="P25" s="15" t="str">
        <x:v>UNSUPPORTED</x:v>
      </x:c>
      <x:c r="Q25" s="16" t="str"/>
      <x:c r="R25" s="16" t="str"/>
      <x:c r="S25" s="16" t="str"/>
    </x:row>
    <x:row r="26" ht="92" customHeight="1">
      <x:c r="A26" s="15" t="str">
        <x:v>CLAIM</x:v>
      </x:c>
      <x:c r="B26" s="15" t="str">
        <x:v>PROV-009</x:v>
      </x:c>
      <x:c r="C26" s="15" t="str">
        <x:v>清华校车线路、班次和校园出入口交通指引在哪里查？</x:v>
      </x:c>
      <x:c r="D26" s="15" t="str">
        <x:v>PROV-009-C001</x:v>
      </x:c>
      <x:c r="E26" s="15" t="str">
        <x:v>请查看清华接待服务中心的官方公众号或小程序，其中详细列出了校车线路、班次和校园出入口交通指引。</x:v>
      </x:c>
      <x:c r="F26" s="15" t="str">
        <x:v>LOCATION</x:v>
      </x:c>
      <x:c r="G26" s="15" t="str">
        <x:v>车队校园交通车班组自1999年开设至今,已经走过20余载的风雨历程,通过不断地优化路线和运行方式、增加服务内容,在学校日常通勤服务中发挥了积极作用。2016年初原有老旧燃油车辆全部更换为新能源电动车,自此校园交通车进入绿色通行时代,成为“清华园里一道亮丽的风景线”。</x:v>
      </x:c>
      <x:c r="H26" s="15" t="str">
        <x:v>### 车辆
(1)校园交通车班组
车队校园交通车班组自1999年开设至今,已经走过20余载的风雨历程,通过不断地优化路线和运行方式、增加服务内容,在学校日常通勤服务中发挥了积极作用。2016年初原有老旧燃油车辆全部更换为新能源电动车,自此校园交通车进入绿色通行时代,成为“清华园里一道亮丽的风景线”。
具体校园交通车运行方式如下:
1. 外环(车前窗立有“外环”标识牌)
1)运行时间:工作日7:20-18:00,非工作日及节假日8:30-17:40,寒暑假运行以公告为准。
2)始发站点:世纪林
3)运行模式:固定线路行驶,固定站点停靠。工作日7:20、7:30、7:40班次按逆时针行车路线驶往游泳馆方向,7:50班次按顺时针行车路线驶往东侧门方向。其余时段为每小时的整点、20分、40分驶往东侧门方向(顺时针方向)。10分、30分、50分驶往游泳馆方向(逆时针方向)。
4)顺时针方向行车路线:世纪林—东侧门—艺术博物馆—美术学院大楼—东南门—李兆基科技大楼—东楼南门—照澜院—老年活动中心—七公寓—中五楼—后勤综合服务平台—西湖游泳池—西门—西湖游泳池—校医院—西北门—理科楼—西大操场—图书馆北馆—低碳能源楼—北门—桃李园—紫荆园—玉树园—紫荆操场东北角—紫荆操场东南角—苏世民书院大楼—游泳馆—世纪林
5)逆时针方向行车路线:世纪林—游泳馆—苏世民书院大楼—紫荆操场东南角—紫荆操场东北角—玉树园—紫荆园—桃李园—北门—低碳能源楼—图书馆北馆—西大操场—理科楼—西北门—校医院—西湖游泳池—西门—西湖游泳池—后勤综合服务平台—中五楼—七公寓—老年活动中心—照澜院—东楼南门—李兆基科技大楼—东南门—美术学院大楼—艺术博物馆—东侧门—世纪林
6)午间加密:工作日10:50--13:10班次加密,每班次双向各发一车,行车路线为外环行车路线,非工作日不加密。</x:v>
      </x:c>
      <x:c r="I26" s="15" t="str">
        <x:v>车辆-清华大学接待服务中心</x:v>
      </x:c>
      <x:c r="J26" s="15" t="str">
        <x:v>https://www.tsinghua.edu.cn/jdfwzx/jdfw/cl.htm</x:v>
      </x:c>
      <x:c r="K26" s="15" t="str">
        <x:v>UNSUPPORTED</x:v>
      </x:c>
      <x:c r="L26" s="15" t="str">
        <x:v>UNSUPPORTED</x:v>
      </x:c>
      <x:c r="M26" s="17" t="n">
        <x:v>0.6994770169258118</x:v>
      </x:c>
      <x:c r="N26" s="17" t="n">
        <x:v>0.9298321604728699</x:v>
      </x:c>
      <x:c r="O26" s="15" t="str">
        <x:v>ENTITY_MISMATCH</x:v>
      </x:c>
      <x:c r="P26" s="15" t="str">
        <x:v>SOURCE_QUALITY_FAILURE</x:v>
      </x:c>
      <x:c r="Q26" s="16" t="str"/>
      <x:c r="R26" s="16" t="str"/>
      <x:c r="S26" s="16" t="str"/>
    </x:row>
    <x:row r="27" ht="92" customHeight="1">
      <x:c r="A27" s="15" t="str">
        <x:v>CLAIM</x:v>
      </x:c>
      <x:c r="B27" s="15" t="str">
        <x:v>RET-07</x:v>
      </x:c>
      <x:c r="C27" s="15" t="str">
        <x:v>清华学生如何获得就业指导、招聘与职业咨询？</x:v>
      </x:c>
      <x:c r="D27" s="15" t="str">
        <x:v>RET-07-C002</x:v>
      </x:c>
      <x:c r="E27" s="15" t="str">
        <x:v>由30余位咨询师提供个性化指导。</x:v>
      </x:c>
      <x:c r="F27" s="15" t="str">
        <x:v>NUMERIC</x:v>
      </x:c>
      <x:c r="G27" s="15" t="str">
        <x:v>学生职业发展指导中心有30余位学生职业发展指导中心有近30位咨询师向同学提供个性化咨询。</x:v>
      </x:c>
      <x:c r="H27" s="15" t="str">
        <x:v>学生职业发展指导中心有30余位学生职业发展指导中心有近30位咨询师向同学提供个性化咨询。同学们可以与咨询师一对一面谈在职业生涯方面的问题和困惑,咨询师会根据需要,帮助分析兴趣爱好、个性特征、能力特长,选择适合的职业发展方向,与同学们共同讨论如何应对职业选择和求职过程中遇到的困难和挑战,帮助同学们提高问题解决能力,发掘自身优势,提高实现梦想的信心。
生涯咨询可以在以下几个方面对你有所帮助:
- **自我了解****:**帮助你深入剖析自己的兴趣爱好、性格特征、能力特长,以及你对人生意义和价值的看法;
- **职业探索****:**与你探讨收集职业信息的技巧,帮助你提高收集职业信息的能力,以便在专业学习和职业世界中进行精准定位;
- **方向选择****:**帮助你使用理性、科学的方法,分析和比较多种发展方向的选择,从而做出恰当的决策;
- **简历与面试****:**帮助您修改适用于升学、留学、实习和求职使用的简历,进行适用于上述情境的模拟面试;
- **求职心理****:**帮助你提高应对求职中挫折和困境的能力,学习心理调适的方法。
**咨询师介绍**
****一、学术机构职业选择与发展咨询****
| | |
| --- | --- |
| | **李锋亮**,博士(教育经济学),清华大学教育研究院教授,开设“教育与就业”、“教育经济学”等课程,一直从事教育与就业之间关系的研究。 --- **咨询领域**:专业/职业选择与准备、擅长进行决策的成本与收益分析。 |
| | **马昱春**,博士(计算机专业),教授,清华大学计算机系教学办公室主任。 --- **咨询领域**:专业/职业选择与准备;博士生的学术职业与非学术职业选择。 |
| | **王大亮**,博士,清华大学基础医学院教授,基础医学院党委副书记,从事肿瘤病理学领域的研究与教学工作。</x:v>
      </x:c>
      <x:c r="I27" s="15" t="str">
        <x:v>个体咨询（校内导师）</x:v>
      </x:c>
      <x:c r="J27" s="15" t="str">
        <x:v>https://career.tsinghua.edu.cn/info/1008/2435.htm</x:v>
      </x:c>
      <x:c r="K27" s="15" t="str">
        <x:v>UNSUPPORTED</x:v>
      </x:c>
      <x:c r="L27" s="15" t="str">
        <x:v>SUPPORTED</x:v>
      </x:c>
      <x:c r="M27" s="17" t="n">
        <x:v>0.7541742920875549</x:v>
      </x:c>
      <x:c r="N27" s="17" t="n">
        <x:v>0.9998127818107605</x:v>
      </x:c>
      <x:c r="O27" s="15" t="str"/>
      <x:c r="P27" s="15" t="str">
        <x:v>NUMERIC_CLAIM</x:v>
      </x:c>
      <x:c r="Q27" s="16" t="str"/>
      <x:c r="R27" s="16" t="str"/>
      <x:c r="S27" s="16" t="str"/>
    </x:row>
    <x:row r="28" ht="92" customHeight="1">
      <x:c r="A28" s="15" t="str">
        <x:v>CLAIM</x:v>
      </x:c>
      <x:c r="B28" s="15" t="str">
        <x:v>PROV-011</x:v>
      </x:c>
      <x:c r="C28" s="15" t="str">
        <x:v>清华大学医院能否通过北京114平台预约挂号？</x:v>
      </x:c>
      <x:c r="D28" s="15" t="str">
        <x:v>PROV-011-C001</x:v>
      </x:c>
      <x:c r="E28" s="15" t="str">
        <x:v>可以，清华大学医院自2024年7月1日起与北京市114预约挂号平台实现直连。</x:v>
      </x:c>
      <x:c r="F28" s="15" t="str">
        <x:v>TEMPORAL</x:v>
      </x:c>
      <x:c r="G28" s="15" t="str">
        <x:v>清华大学医院自2024年7月1日起,正式与北京市114预约挂号平台实现直连。</x:v>
      </x:c>
      <x:c r="H28" s="15" t="str">
        <x:v>清华大学医院自2024年7月1日起,正式与北京市114预约挂号平台实现直连。关注“北京114预约挂号”公众号,搜索“清华大学医院”可进行预约挂号。
目前114预约挂号平台与我院自有平台一致,可预约挂号,号源与各途径号源同步放号,可支持公费医疗、医保及自费患者的预约挂号,已预约患者凭相应医保卡、工作证、学生证、身份证至院内自助机或窗口均可取号。
★特别提示:预约就诊信息不能作为入校凭证,校外人员请自行报备入校。</x:v>
      </x:c>
      <x:c r="I28" s="15" t="str">
        <x:v>清华大学医院可在114平台预约挂号啦！-清华大学医学院</x:v>
      </x:c>
      <x:c r="J28" s="15" t="str">
        <x:v>https://www.med.tsinghua.edu.cn/info/1407/4477.htm</x:v>
      </x:c>
      <x:c r="K28" s="15" t="str">
        <x:v>SUPPORTED</x:v>
      </x:c>
      <x:c r="L28" s="15" t="str">
        <x:v>UNSUPPORTED</x:v>
      </x:c>
      <x:c r="M28" s="17" t="n">
        <x:v>0.9170293211936951</x:v>
      </x:c>
      <x:c r="N28" s="17" t="n">
        <x:v>0.9999436140060425</x:v>
      </x:c>
      <x:c r="O28" s="15" t="str">
        <x:v>ENTITY_MISMATCH</x:v>
      </x:c>
      <x:c r="P28" s="15" t="str">
        <x:v>TEMPORAL_CLAIM</x:v>
      </x:c>
      <x:c r="Q28" s="16" t="str"/>
      <x:c r="R28" s="16" t="str"/>
      <x:c r="S28" s="16" t="str"/>
    </x:row>
    <x:row r="29" ht="92" customHeight="1">
      <x:c r="A29" s="15" t="str">
        <x:v>CLAIM</x:v>
      </x:c>
      <x:c r="B29" s="15" t="str">
        <x:v>RET-08</x:v>
      </x:c>
      <x:c r="C29" s="15" t="str">
        <x:v>校内食堂、餐饮服务和就餐信息在哪里查询？</x:v>
      </x:c>
      <x:c r="D29" s="15" t="str">
        <x:v>RET-08-C002</x:v>
      </x:c>
      <x:c r="E29" s="15" t="str">
        <x:v>餐饮服务：[C2]饮食服务中心；</x:v>
      </x:c>
      <x:c r="F29" s="15" t="str">
        <x:v>ENTITY</x:v>
      </x:c>
      <x:c r="G29" s="15" t="str">
        <x:v>1993年1月,清华大学膳食处正式改制为饮食服务中心。在学校和后勤党委的领导下,饮食服务中心紧密围绕学校培养人的根本任务,以“三服务、三育人”为宗旨,不断解放思想,转变观念,积极探索,大胆实践,走出了一条“育人为本、持续改革、不断完善”的伙食发展之路。</x:v>
      </x:c>
      <x:c r="H29" s="15" t="str">
        <x:v>1993年1月,清华大学膳食处正式改制为饮食服务中心。在学校和后勤党委的领导下,饮食服务中心紧密围绕学校培养人的根本任务,以“三服务、三育人”为宗旨,不断解放思想,转变观念,积极探索,大胆实践,走出了一条“育人为本、持续改革、不断完善”的伙食发展之路。目前,饮食服务中心下设一办四科,即综合办公室、运行管理科、监控管理科、采购供应科、设备设施管理科,所辖8个学生食堂、9个教工食堂、多个特色餐厅和食品加工车间等单位。中心现有各类职工1500余人,食堂餐厅总建筑面积约6万平米,为超过5万名师生员工提供日常伙食保障。通过转换机制、扩大服务、强化管理等手段,各食堂餐厅已形成了一个高中低档配套,中西菜点、南北风味、大众小吃种类齐全,各具特色、环境幽雅、方便快捷的综合饮食服务网络。以“创造一流伙食、践行服务育人”为使命,坚持主动适应学校建设发展,坚持围绕学校培养人根本任务,坚持正确办伙方向,加强队伍建设,提升饮食服务质量和效率,持续提高管理现代化水平,努力满足师生员工的饮食服务新需求,推进育人机制和环境建设,努力实现“师生满意、学校满意、员工满意”,促进校园饮食文化传承与创新。</x:v>
      </x:c>
      <x:c r="I29" s="15" t="str">
        <x:v>饮食服务中心</x:v>
      </x:c>
      <x:c r="J29" s="15" t="str">
        <x:v>https://www.tsinghua.edu.cn/ysfwzx/</x:v>
      </x:c>
      <x:c r="K29" s="15" t="str">
        <x:v>UNSUPPORTED</x:v>
      </x:c>
      <x:c r="L29" s="15" t="str">
        <x:v>UNSUPPORTED</x:v>
      </x:c>
      <x:c r="M29" s="17" t="n">
        <x:v>0.5692335963249207</x:v>
      </x:c>
      <x:c r="N29" s="17" t="n">
        <x:v>0.9470446705818176</x:v>
      </x:c>
      <x:c r="O29" s="15" t="str"/>
      <x:c r="P29" s="15" t="str">
        <x:v>ENTITY_CLAIM</x:v>
      </x:c>
      <x:c r="Q29" s="16" t="str"/>
      <x:c r="R29" s="16" t="str"/>
      <x:c r="S29" s="16" t="str"/>
    </x:row>
    <x:row r="30" ht="92" customHeight="1">
      <x:c r="A30" s="15" t="str">
        <x:v>CLAIM</x:v>
      </x:c>
      <x:c r="B30" s="15" t="str">
        <x:v>RET-07</x:v>
      </x:c>
      <x:c r="C30" s="15" t="str">
        <x:v>清华学生如何获得就业指导、招聘与职业咨询？</x:v>
      </x:c>
      <x:c r="D30" s="15" t="str">
        <x:v>RET-07-C001</x:v>
      </x:c>
      <x:c r="E30" s="15" t="str">
        <x:v>清华学生可预约个体咨询，</x:v>
      </x:c>
      <x:c r="F30" s="15" t="str">
        <x:v>PROCEDURAL</x:v>
      </x:c>
      <x:c r="G30" s="15" t="str">
        <x:v>在校生预约咨询方式:：([操作视频](https://m.v.qq.com/z/msite/play-short/index.html?</x:v>
      </x:c>
      <x:c r="H30" s="15" t="str">
        <x:v>|
| | **朱李婧**,深圳国际研究生院职业发展指导中心国际与跨文化项目主管,美国加州大学欧文分校公共政策硕士,曾任职于院学生全球胜任力中心。 --- **咨询领域**:职业生涯选择与发展、外企/政府/海外高校就业指导、国际组织就业规划、中英文简历修改、双语模拟面试, 海外就业选择咨询、面试礼仪、个人发展规划。 |
| | **陈旭东**,深圳国际研究生院职业发展指导中心老师,清华大学公共管理硕士,GCDF全球生涯规划师,国家人力资源二级、CISET国际注册高级礼仪培训师。 --- **咨询领域**:职业生涯咨询、企业就业指导、专业/职业选择与准备、简历修改、面试技巧、面试礼仪培训。 |
| | **董亮**,深圳国际研究生院职业发展指导中心老师,清华大学法律硕士。 --- **咨询领域**:公共服务部门就业指导、专业/职业选择与准备、简历修改、面试技巧、职业生涯规划、选调政策解读。 |
| | **赵梦圆**,深圳国际研究生院职业发展指导中心老师,澳大利亚悉尼大学商学硕士,GCDF全球生涯规划师。 --- **咨询领域**:职业生涯咨询、国际组织实习及就业指导、双语模拟面试、简历修改。 |
**六、就业政策咨询**
| | |
| --- | --- |
| | **张杨**,文学博士,讲师,清华大学学生职业发展指导中心校地人才合作与综合办公室主任。 --- **咨询领域**:大学生就业政策、企事业单位就业等。 |
| | |
**在校生预约咨询方式:**
**预约方式一:**请先于首页登录(用户名和密码同info信息门户),然后点击左侧快速通道的咨询预约链接,查询咨询师个人信息,预约个体咨询。([操作视频](https://m.v.qq.com/z/msite/play-short/index.html?</x:v>
      </x:c>
      <x:c r="I30" s="15" t="str">
        <x:v>个体咨询（校内导师）</x:v>
      </x:c>
      <x:c r="J30" s="15" t="str">
        <x:v>https://career.tsinghua.edu.cn/info/1008/2435.htm</x:v>
      </x:c>
      <x:c r="K30" s="15" t="str">
        <x:v>UNSUPPORTED</x:v>
      </x:c>
      <x:c r="L30" s="15" t="str">
        <x:v>UNSUPPORTED</x:v>
      </x:c>
      <x:c r="M30" s="17" t="n">
        <x:v>0.5850280523300171</x:v>
      </x:c>
      <x:c r="N30" s="17" t="n">
        <x:v>0.3913901448249817</x:v>
      </x:c>
      <x:c r="O30" s="15" t="str"/>
      <x:c r="P30" s="15" t="str">
        <x:v>PROCEDURAL_CLAIM</x:v>
      </x:c>
      <x:c r="Q30" s="16" t="str"/>
      <x:c r="R30" s="16" t="str"/>
      <x:c r="S30" s="16" t="str"/>
    </x:row>
    <x:row r="31" ht="92" customHeight="1">
      <x:c r="A31" s="15" t="str">
        <x:v>CLAIM</x:v>
      </x:c>
      <x:c r="B31" s="15" t="str">
        <x:v>RET-07</x:v>
      </x:c>
      <x:c r="C31" s="15" t="str">
        <x:v>清华学生如何获得就业指导、招聘与职业咨询？</x:v>
      </x:c>
      <x:c r="D31" s="15" t="str">
        <x:v>RET-07-C004</x:v>
      </x:c>
      <x:c r="E31" s="15" t="str">
        <x:v>清华学生职业发展指导中心有近30位咨询师，</x:v>
      </x:c>
      <x:c r="F31" s="15" t="str">
        <x:v>NUMERIC</x:v>
      </x:c>
      <x:c r="G31" s="15" t="str">
        <x:v>学生职业发展指导中心有30余位学生职业发展指导中心有近30位咨询师向同学提供个性化咨询。</x:v>
      </x:c>
      <x:c r="H31" s="15" t="str">
        <x:v>学生职业发展指导中心有30余位学生职业发展指导中心有近30位咨询师向同学提供个性化咨询。同学们可以与咨询师一对一面谈在职业生涯方面的问题和困惑,咨询师会根据需要,帮助分析兴趣爱好、个性特征、能力特长,选择适合的职业发展方向,与同学们共同讨论如何应对职业选择和求职过程中遇到的困难和挑战,帮助同学们提高问题解决能力,发掘自身优势,提高实现梦想的信心。
生涯咨询可以在以下几个方面对你有所帮助:
- **自我了解****:**帮助你深入剖析自己的兴趣爱好、性格特征、能力特长,以及你对人生意义和价值的看法;
- **职业探索****:**与你探讨收集职业信息的技巧,帮助你提高收集职业信息的能力,以便在专业学习和职业世界中进行精准定位;
- **方向选择****:**帮助你使用理性、科学的方法,分析和比较多种发展方向的选择,从而做出恰当的决策;
- **简历与面试****:**帮助您修改适用于升学、留学、实习和求职使用的简历,进行适用于上述情境的模拟面试;
- **求职心理****:**帮助你提高应对求职中挫折和困境的能力,学习心理调适的方法。
**咨询师介绍**
****一、学术机构职业选择与发展咨询****
| | |
| --- | --- |
| | **李锋亮**,博士(教育经济学),清华大学教育研究院教授,开设“教育与就业”、“教育经济学”等课程,一直从事教育与就业之间关系的研究。 --- **咨询领域**:专业/职业选择与准备、擅长进行决策的成本与收益分析。 |
| | **马昱春**,博士(计算机专业),教授,清华大学计算机系教学办公室主任。 --- **咨询领域**:专业/职业选择与准备;博士生的学术职业与非学术职业选择。 |
| | **王大亮**,博士,清华大学基础医学院教授,基础医学院党委副书记,从事肿瘤病理学领域的研究与教学工作。</x:v>
      </x:c>
      <x:c r="I31" s="15" t="str">
        <x:v>个体咨询（校内导师）</x:v>
      </x:c>
      <x:c r="J31" s="15" t="str">
        <x:v>https://career.tsinghua.edu.cn/info/1008/2435.htm</x:v>
      </x:c>
      <x:c r="K31" s="15" t="str">
        <x:v>UNSUPPORTED</x:v>
      </x:c>
      <x:c r="L31" s="15" t="str">
        <x:v>UNSUPPORTED</x:v>
      </x:c>
      <x:c r="M31" s="17" t="n">
        <x:v>0.7813913226127625</x:v>
      </x:c>
      <x:c r="N31" s="17" t="n">
        <x:v>0.9876062273979187</x:v>
      </x:c>
      <x:c r="O31" s="15" t="str">
        <x:v>ENTITY_MISMATCH</x:v>
      </x:c>
      <x:c r="P31" s="15" t="str">
        <x:v>HARD_SAFETY_VETO</x:v>
      </x:c>
      <x:c r="Q31" s="16" t="str"/>
      <x:c r="R31" s="16" t="str"/>
      <x:c r="S31" s="16" t="str"/>
    </x:row>
    <x:row r="32" ht="92" customHeight="1">
      <x:c r="A32" s="15" t="str">
        <x:v>CLAIM</x:v>
      </x:c>
      <x:c r="B32" s="15" t="str">
        <x:v>RET-08</x:v>
      </x:c>
      <x:c r="C32" s="15" t="str">
        <x:v>校内食堂、餐饮服务和就餐信息在哪里查询？</x:v>
      </x:c>
      <x:c r="D32" s="15" t="str">
        <x:v>RET-08-C001</x:v>
      </x:c>
      <x:c r="E32" s="15" t="str">
        <x:v>清华大学食堂信息：[C1]丁香园食堂、闻馨园食堂、双清园食堂；</x:v>
      </x:c>
      <x:c r="F32" s="15" t="str">
        <x:v>LOCATION</x:v>
      </x:c>
      <x:c r="G32" s="15" t="str">
        <x:v>| 23CC0 | **丁香园食堂**原名十四食堂,1987年1月落成,使用面积1300平方米,可同时容纳580余人就餐。其名字源于清华校花之一白丁香,寓其面积虽小,而其饭菜犹如丁香花般朴素淡雅、清香宜人。电话:62782814 |</x:v>
      </x:c>
      <x:c r="H32" s="15" t="str">
        <x:v>| 23CC0 | **丁香园食堂**原名十四食堂,1987年1月落成,使用面积1300平方米,可同时容纳580余人就餐。其名字源于清华校花之一白丁香,寓其面积虽小,而其饭菜犹如丁香花般朴素淡雅、清香宜人。 电话:62782814 |
| | **闻馨园食堂**,坐落于观畴园食堂西南角,2001年投入使用,提供清真餐食,食堂环境典雅、干净,可同时容纳100余人就餐。 电话:62782430 |
| | **双清园食堂**于2021年8月16日试营业,位于校外双清公寓周边,方便了附近学生及教师们的日常用餐。 电话:62924987 |</x:v>
      </x:c>
      <x:c r="I32" s="15" t="str">
        <x:v>学生食堂</x:v>
      </x:c>
      <x:c r="J32" s="15" t="str">
        <x:v>https://www.tsinghua.edu.cn/ysfwzx/info/1004/1007.htm</x:v>
      </x:c>
      <x:c r="K32" s="15" t="str">
        <x:v>UNSUPPORTED</x:v>
      </x:c>
      <x:c r="L32" s="15" t="str">
        <x:v>UNSUPPORTED</x:v>
      </x:c>
      <x:c r="M32" s="17" t="n">
        <x:v>0.717717170715332</x:v>
      </x:c>
      <x:c r="N32" s="17" t="n">
        <x:v>0.8637556433677673</x:v>
      </x:c>
      <x:c r="O32" s="15" t="str">
        <x:v>ENTITY_MISMATCH</x:v>
      </x:c>
      <x:c r="P32" s="15" t="str">
        <x:v>HARD_SAFETY_VETO</x:v>
      </x:c>
      <x:c r="Q32" s="16" t="str"/>
      <x:c r="R32" s="16" t="str"/>
      <x:c r="S32" s="16" t="str"/>
    </x:row>
    <x:row r="33" ht="92" customHeight="1">
      <x:c r="A33" s="15" t="str">
        <x:v>CLAIM</x:v>
      </x:c>
      <x:c r="B33" s="15" t="str">
        <x:v>RET-06</x:v>
      </x:c>
      <x:c r="C33" s="15" t="str">
        <x:v>清华学生奖学金、助学金申请和评选办法是什么？</x:v>
      </x:c>
      <x:c r="D33" s="15" t="str">
        <x:v>RET-06-C004</x:v>
      </x:c>
      <x:c r="E33" s="15" t="str">
        <x:v>现场答辩形式进行复评，形成推荐名单，提请校务会议审议。</x:v>
      </x:c>
      <x:c r="F33" s="15" t="str">
        <x:v>FACTUAL</x:v>
      </x:c>
      <x:c r="G33" s="15" t="str">
        <x:v>(四)评选机构通过现场答辩形式组织复评,形成推荐名单,提请校务会议审议;</x:v>
      </x:c>
      <x:c r="H33" s="15" t="str">
        <x:v>(四)评选机构通过现场答辩形式组织复评,形成推荐名单,提请校务会议审议;
(五)校务会议讨论决定特等奖学金表彰名单;
(六)特等奖学金表彰名单在学校信息门户网站予以公示。
第五条 学校对特等奖学金获得者进行表彰,颁发荣誉证书,并给予奖励。
第六条 特等奖学金评选过程中发现申请者有弄虚作假等不当行为的,一经核实取消其当年度奖学金参评资格,视情节轻重给予相应处理直至纪律处分。
第七条 特等奖学金获得者被发现不符合评选条件,或者获奖后有违法违纪行为等不再能发挥示范引领作用的,经校务会议研究决定撤销其特等奖学金(同时收回相关奖励及证书等)。
第八条 本办法由学生处、研究生院负责解释。
第九条 本办法自公布之日起施行。《清华大学特等奖学金评选操作流程》(经学校奖学金、助学金管理委员会2004~2005学年度第1次会议讨论通过)同时废止。
规章制度
学生部
清华大学本科生国家奖学金评审实施细则
2025-11-19 10:43
清华大学国家励志奖学金评审实施细则
2025-11-19 10:43
清华大学学生申诉处理办法
2024-08-29 14:37
清华大学学生助学金管理规定
2024-08-29 11:44
清华大学学生奖学金管理规定
2024-08-29 11:44
清华大学学生纪律处分管理规定
2024-08-29 11:43
清华大学学生表彰奖励管理规定
2024-08-29 11:42
版权所有 © 清华大学 技术支持:清华大学信息化技术中心 http://its.tsinghua.edu.cn its@tsinghua.edu.cn 62784859</x:v>
      </x:c>
      <x:c r="I33" s="15" t="str">
        <x:v>清华大学特等奖学金评选办法 - 清华大学信息门户</x:v>
      </x:c>
      <x:c r="J33" s="15" t="str">
        <x:v>https://info.tsinghua.edu.cn/f/info/xxfb_fg/xnzx/template/detail?xxid=ad6e98bc019644df97dadbbff29f8964</x:v>
      </x:c>
      <x:c r="K33" s="15" t="str">
        <x:v>UNSUPPORTED</x:v>
      </x:c>
      <x:c r="L33" s="15" t="str">
        <x:v>SUPPORTED</x:v>
      </x:c>
      <x:c r="M33" s="17" t="n">
        <x:v>0.8142841458320618</x:v>
      </x:c>
      <x:c r="N33" s="17" t="n">
        <x:v>0.999906063079834</x:v>
      </x:c>
      <x:c r="O33" s="15" t="str"/>
      <x:c r="P33" s="15" t="str">
        <x:v>V1_FAILURE_TO_V2_SUCCESS</x:v>
      </x:c>
      <x:c r="Q33" s="16" t="str"/>
      <x:c r="R33" s="16" t="str"/>
      <x:c r="S33" s="16" t="str"/>
    </x:row>
    <x:row r="34" ht="92" customHeight="1">
      <x:c r="A34" s="15" t="str">
        <x:v>CLAIM</x:v>
      </x:c>
      <x:c r="B34" s="15" t="str">
        <x:v>RET-06</x:v>
      </x:c>
      <x:c r="C34" s="15" t="str">
        <x:v>清华学生奖学金、助学金申请和评选办法是什么？</x:v>
      </x:c>
      <x:c r="D34" s="15" t="str">
        <x:v>RET-06-C005</x:v>
      </x:c>
      <x:c r="E34" s="15" t="str">
        <x:v>奖学金获得者需在评选当年发放，并颁发荣誉证书。</x:v>
      </x:c>
      <x:c r="F34" s="15" t="str">
        <x:v>FACTUAL</x:v>
      </x:c>
      <x:c r="G34" s="15" t="str">
        <x:v>**第十七条** 学校在评选当年对奖学金获得者进行表彰,颁发荣誉证书。</x:v>
      </x:c>
      <x:c r="H34" s="15" t="str">
        <x:v>**第十七条** 学校在评选当年对奖学金获得者进行表彰,颁发荣誉证书。奖学金原则上应当在评选当年发放。
**第十八条** 学生处、研究生院负责组织开展奖学金获得者事迹宣传,切实发挥评奖工作的育人作用。
**第十九条** 奖学金获得者相关材料应当及时归入学生个人档案。
**第二十条** 奖学金评选过程中发现申请者有弄虚作假等不当行为的,一经核实取消其当学年度奖学金参评资格,视情节轻重给予相应处理直至纪律处分。
**第二十一条** 奖学金获得者被发现不符合评选条件的,撤销其所获奖学金(收回奖励金及证书等)。
**第****二十二条** 国际学生申请奖学金,参照适用本规定第十二条规定的基本申请条件。
**第二十三条** 本规定由学生工作指导委员会负责解释。
**第二十四条** 本规定自公布之日起执行,《清华大学学生奖学金条例》(经学校奖学金、助学金管理委员会2001~2002学年度第1次会议讨论通过)同时废止。</x:v>
      </x:c>
      <x:c r="I34" s="15" t="str">
        <x:v>清华大学学生奖学金管理规定</x:v>
      </x:c>
      <x:c r="J34" s="15" t="str">
        <x:v>https://www.tsinghua.edu.cn/info/1093/82880.htm</x:v>
      </x:c>
      <x:c r="K34" s="15" t="str">
        <x:v>UNSUPPORTED</x:v>
      </x:c>
      <x:c r="L34" s="15" t="str">
        <x:v>SUPPORTED</x:v>
      </x:c>
      <x:c r="M34" s="17" t="n">
        <x:v>0.827452540397644</x:v>
      </x:c>
      <x:c r="N34" s="17" t="n">
        <x:v>0.9978691339492798</x:v>
      </x:c>
      <x:c r="O34" s="15" t="str"/>
      <x:c r="P34" s="15" t="str">
        <x:v>V1_FAILURE_TO_V2_SUCCESS</x:v>
      </x:c>
      <x:c r="Q34" s="16" t="str"/>
      <x:c r="R34" s="16" t="str"/>
      <x:c r="S34" s="16" t="str"/>
    </x:row>
    <x:row r="35" ht="92" customHeight="1">
      <x:c r="A35" s="15" t="str">
        <x:v>CLAIM</x:v>
      </x:c>
      <x:c r="B35" s="15" t="str">
        <x:v>RET-08</x:v>
      </x:c>
      <x:c r="C35" s="15" t="str">
        <x:v>校内食堂、餐饮服务和就餐信息在哪里查询？</x:v>
      </x:c>
      <x:c r="D35" s="15" t="str">
        <x:v>RET-08-C003</x:v>
      </x:c>
      <x:c r="E35" s="15" t="str">
        <x:v>就餐信息：[C5]教工餐厅。</x:v>
      </x:c>
      <x:c r="F35" s="15" t="str">
        <x:v>FACTUAL</x:v>
      </x:c>
      <x:c r="G35" s="15" t="str">
        <x:v>中心现有各类职工1500余人,食堂餐厅总建筑面积约6万平米,为超过5万名师生员工提供日常伙食保障。</x:v>
      </x:c>
      <x:c r="H35" s="15" t="str">
        <x:v>1993年1月,清华大学膳食处正式改制为饮食服务中心。在学校和后勤党委的领导下,饮食服务中心紧密围绕学校培养人的根本任务,以“三服务、三育人”为宗旨,不断解放思想,转变观念,积极探索,大胆实践,走出了一条“育人为本、持续改革、不断完善”的伙食发展之路。目前,饮食服务中心下设一办四科,即综合办公室、运行管理科、监控管理科、采购供应科、设备设施管理科,所辖8个学生食堂、9个教工食堂、多个特色餐厅和食品加工车间等单位。中心现有各类职工1500余人,食堂餐厅总建筑面积约6万平米,为超过5万名师生员工提供日常伙食保障。通过转换机制、扩大服务、强化管理等手段,各食堂餐厅已形成了一个高中低档配套,中西菜点、南北风味、大众小吃种类齐全,各具特色、环境幽雅、方便快捷的综合饮食服务网络。以“创造一流伙食、践行服务育人”为使命,坚持主动适应学校建设发展,坚持围绕学校培养人根本任务,坚持正确办伙方向,加强队伍建设,提升饮食服务质量和效率,持续提高管理现代化水平,努力满足师生员工的饮食服务新需求,推进育人机制和环境建设,努力实现“师生满意、学校满意、员工满意”,促进校园饮食文化传承与创新。</x:v>
      </x:c>
      <x:c r="I35" s="15" t="str">
        <x:v>饮食服务中心</x:v>
      </x:c>
      <x:c r="J35" s="15" t="str">
        <x:v>https://www.tsinghua.edu.cn/ysfwzx/</x:v>
      </x:c>
      <x:c r="K35" s="15" t="str">
        <x:v>UNSUPPORTED</x:v>
      </x:c>
      <x:c r="L35" s="15" t="str">
        <x:v>UNSUPPORTED</x:v>
      </x:c>
      <x:c r="M35" s="17" t="n">
        <x:v>0.5725279450416565</x:v>
      </x:c>
      <x:c r="N35" s="17" t="n">
        <x:v>0.22276949882507324</x:v>
      </x:c>
      <x:c r="O35" s="15" t="str"/>
      <x:c r="P35" s="15" t="str">
        <x:v>UNSUPPORTED</x:v>
      </x:c>
      <x:c r="Q35" s="16" t="str"/>
      <x:c r="R35" s="16" t="str"/>
      <x:c r="S35" s="16" t="str"/>
    </x:row>
    <x:row r="36" ht="92" customHeight="1">
      <x:c r="A36" s="15" t="str">
        <x:v>CLAIM</x:v>
      </x:c>
      <x:c r="B36" s="15" t="str">
        <x:v>RET-10</x:v>
      </x:c>
      <x:c r="C36" s="15" t="str">
        <x:v>体育场馆如何预约、查询开放时间和使用规则？</x:v>
      </x:c>
      <x:c r="D36" s="15" t="str">
        <x:v>RET-10-C001</x:v>
      </x:c>
      <x:c r="E36" s="15" t="str">
        <x:v>体育场馆预约：应用导航-场地资源预约。</x:v>
      </x:c>
      <x:c r="F36" s="15" t="str">
        <x:v>LOCATION</x:v>
      </x:c>
      <x:c r="G36" s="15" t="str">
        <x:v>为体育课教学、代表队训练、师生课外锻炼和比赛提供了较好的条件,总面积4万平米的北体育馆和冰上运动中心正在建设中。体育部成立了专门机构——场馆管理中心,对场馆设施相关工作进行科学化管理。</x:v>
      </x:c>
      <x:c r="H36" s="15" t="str">
        <x:v>体育设施
清华体育场馆设施从最初的西体育馆开始发展, 到现在以东操、西操、北操和紫操四个区域为主的,总面积近22万多平方米的规模。为体育课教学、代表队训练、师生课外锻炼和比赛提供了较好的条件,总面积4万平米的北体育馆和冰上运动中心正在建设中。体育部成立了专门机构——场馆管理中心,对场馆设施相关工作进行科学化管理。</x:v>
      </x:c>
      <x:c r="I36" s="15" t="str">
        <x:v>体育设施</x:v>
      </x:c>
      <x:c r="J36" s="15" t="str">
        <x:v>https://www.thsports.tsinghua.edu.cn/tyss.htm</x:v>
      </x:c>
      <x:c r="K36" s="15" t="str">
        <x:v>UNSUPPORTED</x:v>
      </x:c>
      <x:c r="L36" s="15" t="str">
        <x:v>UNSUPPORTED</x:v>
      </x:c>
      <x:c r="M36" s="17" t="n">
        <x:v>0.5292820334434509</x:v>
      </x:c>
      <x:c r="N36" s="17" t="n">
        <x:v>0.13020463287830353</x:v>
      </x:c>
      <x:c r="O36" s="15" t="str">
        <x:v>ENTITY_MISMATCH | PROCEDURAL_MISMATCH</x:v>
      </x:c>
      <x:c r="P36" s="15" t="str">
        <x:v>UNSUPPORTED</x:v>
      </x:c>
      <x:c r="Q36" s="16" t="str"/>
      <x:c r="R36" s="16" t="str"/>
      <x:c r="S36" s="16" t="str"/>
    </x:row>
    <x:row r="37" ht="92" customHeight="1">
      <x:c r="A37" s="15" t="str">
        <x:v>SANITY_HARD_NEGATIVE</x:v>
      </x:c>
      <x:c r="B37" s="15" t="str">
        <x:v>SANITY_ONLY</x:v>
      </x:c>
      <x:c r="C37" s="15" t="str">
        <x:v>Verifier calibration only; not benchmark</x:v>
      </x:c>
      <x:c r="D37" s="15" t="str">
        <x:v>NUM-001</x:v>
      </x:c>
      <x:c r="E37" s="15" t="str">
        <x:v>(经2017~2017学年度第25次校务会议通过,2019~20学年度第30次校务会议修订)</x:v>
      </x:c>
      <x:c r="F37" s="15" t="str">
        <x:v>NUMERIC_SWAP</x:v>
      </x:c>
      <x:c r="G37" s="15" t="str">
        <x:v>(经2016~2017学年度第25次校务会议通过,2019~20学年度第30次校务会议修订)</x:v>
      </x:c>
      <x:c r="H37" s="15" t="str">
        <x:v>(经2016~2017学年度第25次校务会议通过,2019~20学年度第30次校务会议修订)</x:v>
      </x:c>
      <x:c r="I37" s="15" t="str">
        <x:v>Synthetic hard negative from real evidence</x:v>
      </x:c>
      <x:c r="J37" s="15" t="str"/>
      <x:c r="K37" s="15" t="str">
        <x:v>N/A</x:v>
      </x:c>
      <x:c r="L37" s="15" t="str">
        <x:v>HARD_NEGATIVE</x:v>
      </x:c>
      <x:c r="M37" s="17"/>
      <x:c r="N37" s="17" t="n">
        <x:v>0.9999665021896362</x:v>
      </x:c>
      <x:c r="O37" s="15" t="str">
        <x:v>NUMERIC_SWAP</x:v>
      </x:c>
      <x:c r="P37" s="15" t="str">
        <x:v>HARD_NEGATIVE</x:v>
      </x:c>
      <x:c r="Q37" s="16" t="str"/>
      <x:c r="R37" s="16" t="str"/>
      <x:c r="S37" s="16" t="str"/>
    </x:row>
    <x:row r="38" ht="92" customHeight="1">
      <x:c r="A38" s="15" t="str">
        <x:v>SANITY_HARD_NEGATIVE</x:v>
      </x:c>
      <x:c r="B38" s="15" t="str">
        <x:v>SANITY_ONLY</x:v>
      </x:c>
      <x:c r="C38" s="15" t="str">
        <x:v>Verifier calibration only; not benchmark</x:v>
      </x:c>
      <x:c r="D38" s="15" t="str">
        <x:v>NUM-002</x:v>
      </x:c>
      <x:c r="E38" s="15" t="str">
        <x:v>第一章 总则：第一条 为了规范学籍管理工作,维护学校正常的教育教学秩序,保证教学培养质量,保障学生合法权益,根据《中华人民共和国高等教育法》以及《普通高等学校学生管理规定》(教育部令第51号)、《清华大学章程》,结合学校实际,制定本规定。</x:v>
      </x:c>
      <x:c r="F38" s="15" t="str">
        <x:v>NUMERIC_SWAP</x:v>
      </x:c>
      <x:c r="G38" s="15" t="str">
        <x:v>第一章 总则：第一条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x:v>
      </x:c>
      <x:c r="H38" s="15" t="str">
        <x:v>第一章 总则：第一条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x:v>
      </x:c>
      <x:c r="I38" s="15" t="str">
        <x:v>Synthetic hard negative from real evidence</x:v>
      </x:c>
      <x:c r="J38" s="15" t="str"/>
      <x:c r="K38" s="15" t="str">
        <x:v>N/A</x:v>
      </x:c>
      <x:c r="L38" s="15" t="str">
        <x:v>HARD_NEGATIVE</x:v>
      </x:c>
      <x:c r="M38" s="17"/>
      <x:c r="N38" s="17" t="n">
        <x:v>0.9999241828918457</x:v>
      </x:c>
      <x:c r="O38" s="15" t="str">
        <x:v>NUMERIC_SWAP</x:v>
      </x:c>
      <x:c r="P38" s="15" t="str">
        <x:v>HARD_NEGATIVE</x:v>
      </x:c>
      <x:c r="Q38" s="16" t="str"/>
      <x:c r="R38" s="16" t="str"/>
      <x:c r="S38" s="16" t="str"/>
    </x:row>
    <x:row r="39" ht="92" customHeight="1">
      <x:c r="A39" s="15" t="str">
        <x:v>SANITY_HARD_NEGATIVE</x:v>
      </x:c>
      <x:c r="B39" s="15" t="str">
        <x:v>SANITY_ONLY</x:v>
      </x:c>
      <x:c r="C39" s="15" t="str">
        <x:v>Verifier calibration only; not benchmark</x:v>
      </x:c>
      <x:c r="D39" s="15" t="str">
        <x:v>NUM-003</x:v>
      </x:c>
      <x:c r="E39" s="15" t="str">
        <x:v>第二章 入学与注册：第六条 新生入学后,学校在13个月内按照国家招生规定进行复查。</x:v>
      </x:c>
      <x:c r="F39" s="15" t="str">
        <x:v>NUMERIC_SWAP</x:v>
      </x:c>
      <x:c r="G39" s="15" t="str">
        <x:v>第二章 入学与注册：第六条 新生入学后,学校在3个月内按照国家招生规定进行复查。</x:v>
      </x:c>
      <x:c r="H39" s="15" t="str">
        <x:v>第二章 入学与注册：第六条 新生入学后,学校在3个月内按照国家招生规定进行复查。</x:v>
      </x:c>
      <x:c r="I39" s="15" t="str">
        <x:v>Synthetic hard negative from real evidence</x:v>
      </x:c>
      <x:c r="J39" s="15" t="str"/>
      <x:c r="K39" s="15" t="str">
        <x:v>N/A</x:v>
      </x:c>
      <x:c r="L39" s="15" t="str">
        <x:v>HARD_NEGATIVE</x:v>
      </x:c>
      <x:c r="M39" s="17"/>
      <x:c r="N39" s="17" t="n">
        <x:v>0.9996891021728516</x:v>
      </x:c>
      <x:c r="O39" s="15" t="str">
        <x:v>NUMERIC_SWAP</x:v>
      </x:c>
      <x:c r="P39" s="15" t="str">
        <x:v>HARD_NEGATIVE</x:v>
      </x:c>
      <x:c r="Q39" s="16" t="str"/>
      <x:c r="R39" s="16" t="str"/>
      <x:c r="S39" s="16" t="str"/>
    </x:row>
    <x:row r="40" ht="92" customHeight="1">
      <x:c r="A40" s="15" t="str">
        <x:v>SANITY_HARD_NEGATIVE</x:v>
      </x:c>
      <x:c r="B40" s="15" t="str">
        <x:v>SANITY_ONLY</x:v>
      </x:c>
      <x:c r="C40" s="15" t="str">
        <x:v>Verifier calibration only; not benchmark</x:v>
      </x:c>
      <x:c r="D40" s="15" t="str">
        <x:v>NUM-004</x:v>
      </x:c>
      <x:c r="E40" s="15" t="str">
        <x:v>未请假或者请假未获得批准,逾期超过12周未注册的,除因不可抗力等正当事由以外,视为放弃学籍,予以退学处理。</x:v>
      </x:c>
      <x:c r="F40" s="15" t="str">
        <x:v>NUMERIC_SWAP</x:v>
      </x:c>
      <x:c r="G40" s="15" t="str">
        <x:v>未请假或者请假未获得批准,逾期超过2周未注册的,除因不可抗力等正当事由以外,视为放弃学籍,予以退学处理。</x:v>
      </x:c>
      <x:c r="H40" s="15" t="str">
        <x:v>未请假或者请假未获得批准,逾期超过2周未注册的,除因不可抗力等正当事由以外,视为放弃学籍,予以退学处理。</x:v>
      </x:c>
      <x:c r="I40" s="15" t="str">
        <x:v>Synthetic hard negative from real evidence</x:v>
      </x:c>
      <x:c r="J40" s="15" t="str"/>
      <x:c r="K40" s="15" t="str">
        <x:v>N/A</x:v>
      </x:c>
      <x:c r="L40" s="15" t="str">
        <x:v>HARD_NEGATIVE</x:v>
      </x:c>
      <x:c r="M40" s="17"/>
      <x:c r="N40" s="17" t="n">
        <x:v>0.9999067783355713</x:v>
      </x:c>
      <x:c r="O40" s="15" t="str">
        <x:v>NUMERIC_SWAP</x:v>
      </x:c>
      <x:c r="P40" s="15" t="str">
        <x:v>HARD_NEGATIVE</x:v>
      </x:c>
      <x:c r="Q40" s="16" t="str"/>
      <x:c r="R40" s="16" t="str"/>
      <x:c r="S40" s="16" t="str"/>
    </x:row>
  </x:sheetData>
  <x:mergeCells>
    <x:mergeCell ref="A1:S1"/>
    <x:mergeCell ref="A2:S2"/>
  </x:mergeCells>
  <x:dataValidations count="2">
    <x:dataValidation type="list" sqref="Q5:Q40">
      <x:formula1>"SUPPORTED,PARTIALLY_SUPPORTED,UNSUPPORTED,CONFLICTING_EVIDENCE,uncertain"</x:formula1>
    </x:dataValidation>
    <x:dataValidation type="list" sqref="R5:R40">
      <x:formula1>"correct,incorrect,partial,uncertain"</x:formula1>
    </x:dataValidation>
  </x:dataValidations>
  <x:pageMargins left="0.7" right="0.7" top="0.75" bottom="0.75" header="0.3" footer="0.3"/>
  <x:tableParts count="1">
    <x:tablePart xmlns:r="http://schemas.openxmlformats.org/officeDocument/2006/relationships" r:id="R0bb7c1135ebb4789"/>
  </x:tableParts>
</x:worksheet>
</file>

<file path=xl/worksheets/sheet3.xml><?xml version="1.0" encoding="utf-8"?>
<x:worksheet xmlns:x="http://schemas.openxmlformats.org/spreadsheetml/2006/main">
  <x:sheetFormatPr defaultRowHeight="15"/>
  <x:cols>
    <x:col min="1" max="1" width="30" hidden="0" customWidth="1"/>
    <x:col min="2" max="2" width="30" hidden="0" customWidth="1"/>
  </x:cols>
  <x:sheetData>
    <x:row r="1">
      <x:c r="A1" s="7" t="str">
        <x:v>human_support_label</x:v>
      </x:c>
      <x:c r="B1" s="7" t="str">
        <x:v>human_citation_correct</x:v>
      </x:c>
    </x:row>
    <x:row r="2">
      <x:c r="A2" t="str">
        <x:v>SUPPORTED</x:v>
      </x:c>
      <x:c r="B2" t="str">
        <x:v>correct</x:v>
      </x:c>
    </x:row>
    <x:row r="3">
      <x:c r="A3" t="str">
        <x:v>PARTIALLY_SUPPORTED</x:v>
      </x:c>
      <x:c r="B3" t="str">
        <x:v>incorrect</x:v>
      </x:c>
    </x:row>
    <x:row r="4">
      <x:c r="A4" t="str">
        <x:v>UNSUPPORTED</x:v>
      </x:c>
      <x:c r="B4" t="str">
        <x:v>partial</x:v>
      </x:c>
    </x:row>
    <x:row r="5">
      <x:c r="A5" t="str">
        <x:v>CONFLICTING_EVIDENCE</x:v>
      </x:c>
      <x:c r="B5" t="str">
        <x:v>uncertain</x:v>
      </x:c>
    </x:row>
    <x:row r="6">
      <x:c r="A6" t="str">
        <x:v>uncertain</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30" hidden="0" customWidth="1"/>
  </x:cols>
  <x:sheetData>
    <x:row r="1">
      <x:c r="A1" s="7" t="str">
        <x:v>metric</x:v>
      </x:c>
      <x:c r="B1" s="7" t="str">
        <x:v>value</x:v>
      </x:c>
    </x:row>
    <x:row r="2">
      <x:c r="A2" t="str">
        <x:v>Rows</x:v>
      </x:c>
      <x:c r="B2" t="n">
        <x:v>36</x:v>
      </x:c>
    </x:row>
    <x:row r="3">
      <x:c r="A3" t="str">
        <x:v>Real claims</x:v>
      </x:c>
      <x:c r="B3" t="n">
        <x:v>32</x:v>
      </x:c>
    </x:row>
    <x:row r="4">
      <x:c r="A4" t="str">
        <x:v>Hard negatives</x:v>
      </x:c>
      <x:c r="B4" t="n">
        <x:v>4</x:v>
      </x:c>
    </x:row>
    <x:row r="5">
      <x:c r="A5" t="str">
        <x:v>V2 supported/partial</x:v>
      </x:c>
      <x:c r="B5" t="n">
        <x:v>17</x:v>
      </x:c>
    </x:row>
    <x:row r="6">
      <x:c r="A6" t="str">
        <x:v>Source quality rows</x:v>
      </x:c>
      <x:c r="B6" t="n">
        <x:v>1</x:v>
      </x:c>
    </x:row>
  </x:sheetData>
  <x:pageMargins left="0.7" right="0.7" top="0.75" bottom="0.75" header="0.3" footer="0.3"/>
</x:worksheet>
</file>