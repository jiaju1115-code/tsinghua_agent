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37032fdc5641d1" /></Relationships>
</file>

<file path=xl/workbook.xml><?xml version="1.0" encoding="utf-8"?>
<x:workbook xmlns:x="http://schemas.openxmlformats.org/spreadsheetml/2006/main">
  <x:sheets>
    <x:sheet xmlns:r="http://schemas.openxmlformats.org/officeDocument/2006/relationships" name="Summary" sheetId="1" r:id="Re1c2586023744ec2"/>
    <x:sheet xmlns:r="http://schemas.openxmlformats.org/officeDocument/2006/relationships" name="A vs Pipeline" sheetId="2" r:id="R44bd286f90c74ced"/>
    <x:sheet xmlns:r="http://schemas.openxmlformats.org/officeDocument/2006/relationships" name="Threshold Sensitivity" sheetId="3" r:id="R78ebc84c1ba74a0c"/>
    <x:sheet xmlns:r="http://schemas.openxmlformats.org/officeDocument/2006/relationships" name="Human Lists" sheetId="4" r:id="R0cd6155ba81d4783"/>
    <x:sheet xmlns:r="http://schemas.openxmlformats.org/officeDocument/2006/relationships" name="Metric Source" sheetId="5" r:id="R6df6a7ed6545480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
  </x:numFmts>
  <x:fonts count="10">
    <x:font>
      <x:sz val="11"/>
      <x:name val="Carlito"/>
    </x:font>
    <x:font>
      <x:b/>
      <x:sz val="18"/>
      <x:color rgb="FFFFFFFF"/>
      <x:name val="Carlito"/>
    </x:font>
    <x:font>
      <x:i/>
      <x:sz val="11"/>
      <x:color rgb="FF6B4F00"/>
      <x:name val="Carlito"/>
    </x:font>
    <x:font>
      <x:b/>
      <x:sz val="11"/>
      <x:color rgb="FFFFFFFF"/>
      <x:name val="Carlito"/>
    </x:font>
    <x:font>
      <x:b/>
      <x:sz val="11"/>
      <x:color rgb="FF0F4C5C"/>
      <x:name val="Carlito"/>
    </x:font>
    <x:font>
      <x:b/>
      <x:sz val="17"/>
      <x:color rgb="FFFFFFFF"/>
      <x:name val="Carlito"/>
    </x:font>
    <x:font>
      <x:i/>
      <x:sz val="11"/>
      <x:color rgb="FF334155"/>
      <x:name val="Carlito"/>
    </x:font>
    <x:font>
      <x:sz val="10"/>
      <x:name val="Microsoft YaHei"/>
    </x:font>
    <x:font>
      <x:sz val="10"/>
      <x:color rgb="FF6B4F00"/>
      <x:name val="Microsoft YaHei"/>
    </x:font>
    <x:font>
      <x:b/>
      <x:sz val="16"/>
      <x:color rgb="FFFFFFFF"/>
      <x:name val="Carlito"/>
    </x:font>
  </x:fonts>
  <x:fills count="7">
    <x:fill>
      <x:patternFill patternType="none"/>
    </x:fill>
    <x:fill>
      <x:patternFill patternType="gray125"/>
    </x:fill>
    <x:fill>
      <x:patternFill patternType="solid">
        <x:fgColor rgb="FF17324D"/>
      </x:patternFill>
    </x:fill>
    <x:fill>
      <x:patternFill patternType="solid">
        <x:fgColor rgb="FFFFF4CC"/>
      </x:patternFill>
    </x:fill>
    <x:fill>
      <x:patternFill patternType="solid">
        <x:fgColor rgb="FF2B6F77"/>
      </x:patternFill>
    </x:fill>
    <x:fill>
      <x:patternFill patternType="solid">
        <x:fgColor rgb="FFDCEFF3"/>
      </x:patternFill>
    </x:fill>
    <x:fill>
      <x:patternFill patternType="solid">
        <x:fgColor rgb="FFEAF0F6"/>
      </x:patternFill>
    </x:fill>
  </x:fills>
  <x:borders count="1">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200" fontId="0" fillId="0" borderId="0" xfId="0" applyNumberFormat="1" applyFont="1" applyFill="1" applyBorder="1"/>
    <x:xf numFmtId="0" fontId="5" fillId="2"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9" fillId="2" borderId="0" xfId="0" applyNumberFormat="1" applyFont="1" applyFill="1" applyBorder="1"/>
    <x:xf numFmtId="201" fontId="0" fillId="0" borderId="0" xfId="0" applyNumberFormat="1" applyFont="1" applyFill="1" applyBorder="1"/>
  </x:cellXfs>
  <x:cellStyles count="1">
    <x:cellStyle name="Normal" xfId="0"/>
  </x:cellStyles>
  <x:dxfs count="2">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496fc5dc9f4017" /><Relationship Type="http://schemas.openxmlformats.org/officeDocument/2006/relationships/theme" Target="/xl/theme/theme1.xml" Id="R5821c81d470046aa" /><Relationship Type="http://schemas.openxmlformats.org/officeDocument/2006/relationships/sharedStrings" Target="/xl/sharedStrings.xml" Id="Rc0bd493a2b2e4b03" /><Relationship Type="http://schemas.openxmlformats.org/officeDocument/2006/relationships/worksheet" Target="/xl/worksheets/sheet1.xml" Id="Re1c2586023744ec2" /><Relationship Type="http://schemas.openxmlformats.org/officeDocument/2006/relationships/worksheet" Target="/xl/worksheets/sheet2.xml" Id="R44bd286f90c74ced" /><Relationship Type="http://schemas.openxmlformats.org/officeDocument/2006/relationships/worksheet" Target="/xl/worksheets/sheet3.xml" Id="R78ebc84c1ba74a0c" /><Relationship Type="http://schemas.openxmlformats.org/officeDocument/2006/relationships/worksheet" Target="/xl/worksheets/sheet4.xml" Id="R0cd6155ba81d4783" /><Relationship Type="http://schemas.openxmlformats.org/officeDocument/2006/relationships/worksheet" Target="/xl/worksheets/sheet5.xml" Id="R6df6a7ed65454807" /></Relationships>
</file>

<file path=xl/tables/table1.xml><?xml version="1.0" encoding="utf-8"?>
<x:table xmlns:x="http://schemas.openxmlformats.org/spreadsheetml/2006/main" id="1" name="CitationPipelineTable" displayName="CitationPipelineTable" ref="A4:Q42" headerRowCount="1" totalsRowCount="0" totalsRowShown="0">
  <x:tableColumns count="17">
    <x:tableColumn id="1" name="question_id"/>
    <x:tableColumn id="2" name="question"/>
    <x:tableColumn id="3" name="original_answer"/>
    <x:tableColumn id="4" name="cited_answer"/>
    <x:tableColumn id="5" name="original_citation_status"/>
    <x:tableColumn id="6" name="new_citation_status"/>
    <x:tableColumn id="7" name="claim_count"/>
    <x:tableColumn id="8" name="supported_claim_count"/>
    <x:tableColumn id="9" name="partial_claim_count"/>
    <x:tableColumn id="10" name="unsupported_claim_count"/>
    <x:tableColumn id="11" name="citation_count"/>
    <x:tableColumn id="12" name="citation_coverage"/>
    <x:tableColumn id="13" name="citation_precision_proxy"/>
    <x:tableColumn id="14" name="preservation_status"/>
    <x:tableColumn id="15" name="human_citation_correctness"/>
    <x:tableColumn id="16" name="human_claim_support"/>
    <x:tableColumn id="17" name="human_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3a0c36b7bc4807"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48" hidden="0" customWidth="1"/>
  </x:cols>
  <x:sheetData>
    <x:row r="1" ht="34" customHeight="1">
      <x:c r="A1" s="2" t="str">
        <x:v>Citation Pipeline V1</x:v>
      </x:c>
      <x:c r="B1" s="2"/>
      <x:c r="C1" s="2"/>
      <x:c r="D1" s="2"/>
      <x:c r="E1" s="2"/>
      <x:c r="F1" s="2"/>
    </x:row>
    <x:row r="2" ht="28" customHeight="1">
      <x:c r="A2" s="5" t="str">
        <x:v>PROVISIONAL_AUTO_EVAL — human-validated citation correctness is N/A</x:v>
      </x:c>
      <x:c r="B2" s="5"/>
      <x:c r="C2" s="5"/>
      <x:c r="D2" s="5"/>
      <x:c r="E2" s="5"/>
      <x:c r="F2" s="5"/>
    </x:row>
    <x:row r="4">
      <x:c r="A4" s="7" t="str">
        <x:v>Metric</x:v>
      </x:c>
      <x:c r="B4" s="7" t="str">
        <x:v>Value</x:v>
      </x:c>
      <x:c r="C4" s="7" t="str">
        <x:v>Interpretation</x:v>
      </x:c>
    </x:row>
    <x:row r="5">
      <x:c r="A5" s="9" t="str">
        <x:v>Questions</x:v>
      </x:c>
      <x:c r="B5" t="n">
        <x:f>'Metric Source'!B2</x:f>
        <x:v>38</x:v>
      </x:c>
      <x:c r="C5" t="str">
        <x:v>38 frozen questions</x:v>
      </x:c>
    </x:row>
    <x:row r="6">
      <x:c r="A6" s="9" t="str">
        <x:v>Claims</x:v>
      </x:c>
      <x:c r="B6" t="n">
        <x:f>'Metric Source'!B3</x:f>
        <x:v>120</x:v>
      </x:c>
      <x:c r="C6" t="str">
        <x:v>deterministic claim units</x:v>
      </x:c>
    </x:row>
    <x:row r="7">
      <x:c r="A7" s="9" t="str">
        <x:v>Factual claims</x:v>
      </x:c>
      <x:c r="B7" t="n">
        <x:f>'Metric Source'!B4</x:f>
        <x:v>104</x:v>
      </x:c>
      <x:c r="C7" t="str">
        <x:v>eligible for support evaluation</x:v>
      </x:c>
    </x:row>
    <x:row r="8">
      <x:c r="A8" s="9" t="str">
        <x:v>Claim citation coverage</x:v>
      </x:c>
      <x:c r="B8" s="10" t="n">
        <x:f>'Metric Source'!B5</x:f>
        <x:v>0.11538461538461539</x:v>
      </x:c>
      <x:c r="C8" t="str">
        <x:v>supported or partial factual claims</x:v>
      </x:c>
    </x:row>
    <x:row r="9">
      <x:c r="A9" s="9" t="str">
        <x:v>Citation precision proxy</x:v>
      </x:c>
      <x:c r="B9" s="10" t="n">
        <x:f>'Metric Source'!B6</x:f>
        <x:v>1</x:v>
      </x:c>
      <x:c r="C9" t="str">
        <x:v>assigned citations passing deterministic rules</x:v>
      </x:c>
    </x:row>
    <x:row r="10">
      <x:c r="A10" s="9" t="str">
        <x:v>A baseline compliance</x:v>
      </x:c>
      <x:c r="B10" s="10" t="n">
        <x:f>'Metric Source'!B7</x:f>
        <x:v>0.05263157894736842</x:v>
      </x:c>
      <x:c r="C10" t="str">
        <x:v>frozen A answer-level metric</x:v>
      </x:c>
    </x:row>
    <x:row r="11">
      <x:c r="A11" s="9" t="str">
        <x:v>Pipeline compliance</x:v>
      </x:c>
      <x:c r="B11" s="10" t="n">
        <x:f>'Metric Source'!B8</x:f>
        <x:v>0.21052631578947367</x:v>
      </x:c>
      <x:c r="C11" t="str">
        <x:v>all factual claims mapped or appropriate refusal</x:v>
      </x:c>
    </x:row>
    <x:row r="12">
      <x:c r="A12" s="9" t="str">
        <x:v>Answer preservation</x:v>
      </x:c>
      <x:c r="B12" s="10" t="n">
        <x:f>'Metric Source'!B9</x:f>
        <x:v>1</x:v>
      </x:c>
      <x:c r="C12" t="str">
        <x:v>body unchanged after marker removal</x:v>
      </x:c>
    </x:row>
    <x:row r="13">
      <x:c r="A13" s="9" t="str">
        <x:v>Human-validated precision</x:v>
      </x:c>
      <x:c r="B13" t="n">
        <x:f>'Metric Source'!B10</x:f>
        <x:v>0</x:v>
      </x:c>
      <x:c r="C13" t="str">
        <x:v>N/A until human review</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48" hidden="0" customWidth="1"/>
    <x:col min="4" max="4" width="52" hidden="0" customWidth="1"/>
    <x:col min="5" max="5" width="18" hidden="0" customWidth="1"/>
    <x:col min="6" max="6" width="18" hidden="0" customWidth="1"/>
    <x:col min="7" max="7" width="13" hidden="0" customWidth="1"/>
    <x:col min="8" max="8" width="15" hidden="0" customWidth="1"/>
    <x:col min="9" max="9" width="15" hidden="0" customWidth="1"/>
    <x:col min="10" max="10" width="16" hidden="0" customWidth="1"/>
    <x:col min="11" max="11" width="13" hidden="0" customWidth="1"/>
    <x:col min="12" max="12" width="16" hidden="0" customWidth="1"/>
    <x:col min="13" max="13" width="18" hidden="0" customWidth="1"/>
    <x:col min="14" max="14" width="16" hidden="0" customWidth="1"/>
    <x:col min="15" max="15" width="22" hidden="0" customWidth="1"/>
    <x:col min="16" max="16" width="22" hidden="0" customWidth="1"/>
    <x:col min="17" max="17" width="38" hidden="0" customWidth="1"/>
  </x:cols>
  <x:sheetData>
    <x:row r="1" ht="32" customHeight="1">
      <x:c r="A1" s="11" t="str">
        <x:v>A Baseline vs Citation Pipeline V1 — 38 Questions</x:v>
      </x:c>
      <x:c r="B1" s="11"/>
      <x:c r="C1" s="11"/>
      <x:c r="D1" s="11"/>
      <x:c r="E1" s="11"/>
      <x:c r="F1" s="11"/>
      <x:c r="G1" s="11"/>
      <x:c r="H1" s="11"/>
      <x:c r="I1" s="11"/>
      <x:c r="J1" s="11"/>
      <x:c r="K1" s="11"/>
      <x:c r="L1" s="11"/>
      <x:c r="M1" s="11"/>
      <x:c r="N1" s="11"/>
      <x:c r="O1" s="11"/>
      <x:c r="P1" s="11"/>
      <x:c r="Q1" s="11"/>
    </x:row>
    <x:row r="2" ht="28" customHeight="1">
      <x:c r="A2" s="14" t="str">
        <x:v>Yellow columns are blank human-review inputs; no human label contributed to automatic metrics.</x:v>
      </x:c>
      <x:c r="B2" s="14"/>
      <x:c r="C2" s="14"/>
      <x:c r="D2" s="14"/>
      <x:c r="E2" s="14"/>
      <x:c r="F2" s="14"/>
      <x:c r="G2" s="14"/>
      <x:c r="H2" s="14"/>
      <x:c r="I2" s="14"/>
      <x:c r="J2" s="14"/>
      <x:c r="K2" s="14"/>
      <x:c r="L2" s="14"/>
      <x:c r="M2" s="14"/>
      <x:c r="N2" s="14"/>
      <x:c r="O2" s="14"/>
      <x:c r="P2" s="14"/>
      <x:c r="Q2" s="14"/>
    </x:row>
    <x:row r="4" ht="42" customHeight="1">
      <x:c r="A4" s="16" t="str">
        <x:v>question_id</x:v>
      </x:c>
      <x:c r="B4" s="16" t="str">
        <x:v>question</x:v>
      </x:c>
      <x:c r="C4" s="16" t="str">
        <x:v>original_answer</x:v>
      </x:c>
      <x:c r="D4" s="16" t="str">
        <x:v>cited_answer</x:v>
      </x:c>
      <x:c r="E4" s="16" t="str">
        <x:v>original_citation_status</x:v>
      </x:c>
      <x:c r="F4" s="16" t="str">
        <x:v>new_citation_status</x:v>
      </x:c>
      <x:c r="G4" s="16" t="str">
        <x:v>claim_count</x:v>
      </x:c>
      <x:c r="H4" s="16" t="str">
        <x:v>supported_claim_count</x:v>
      </x:c>
      <x:c r="I4" s="16" t="str">
        <x:v>partial_claim_count</x:v>
      </x:c>
      <x:c r="J4" s="16" t="str">
        <x:v>unsupported_claim_count</x:v>
      </x:c>
      <x:c r="K4" s="16" t="str">
        <x:v>citation_count</x:v>
      </x:c>
      <x:c r="L4" s="16" t="str">
        <x:v>citation_coverage</x:v>
      </x:c>
      <x:c r="M4" s="16" t="str">
        <x:v>citation_precision_proxy</x:v>
      </x:c>
      <x:c r="N4" s="16" t="str">
        <x:v>preservation_status</x:v>
      </x:c>
      <x:c r="O4" s="16" t="str">
        <x:v>human_citation_correctness</x:v>
      </x:c>
      <x:c r="P4" s="16" t="str">
        <x:v>human_claim_support</x:v>
      </x:c>
      <x:c r="Q4" s="16" t="str">
        <x:v>human_comment</x:v>
      </x:c>
    </x:row>
    <x:row r="5">
      <x:c r="A5" s="19" t="str">
        <x:v>RET-01</x:v>
      </x:c>
      <x:c r="B5" s="19" t="str">
        <x:v>如何查询清华大学本科生学籍、注册与培养管理规定？</x:v>
      </x:c>
      <x:c r="C5" s="19" t="str">
        <x:v>清华大学本科生学籍管理规定由2016~2017学年度第25次校务会议通过，2019~20学年度第30次校务会议修订。该规定适用于全校本科生的学籍管理。</x:v>
      </x:c>
      <x:c r="D5" s="19" t="str">
        <x:v>清华大学本科生学籍管理规定由2016~2017学年度第25次校务会议通过，2019~20学年度第30次校务会议修订。[1]该规定适用于全校本科生的学籍管理。
参考资料：
[1] 清华大学本科生学籍管理规定-清华大学 — https://www.tsinghua.edu.cn/info/1092/1115.htm</x:v>
      </x:c>
      <x:c r="E5" s="19" t="str">
        <x:v>NONCOMPLIANT</x:v>
      </x:c>
      <x:c r="F5" s="19" t="str">
        <x:v>NONCOMPLIANT</x:v>
      </x:c>
      <x:c r="G5" s="19" t="n">
        <x:v>2</x:v>
      </x:c>
      <x:c r="H5" s="19" t="n">
        <x:v>1</x:v>
      </x:c>
      <x:c r="I5" s="19" t="n">
        <x:v>0</x:v>
      </x:c>
      <x:c r="J5" s="19" t="n">
        <x:v>1</x:v>
      </x:c>
      <x:c r="K5" s="19" t="n">
        <x:v>1</x:v>
      </x:c>
      <x:c r="L5" s="20" t="n">
        <x:v>0.5</x:v>
      </x:c>
      <x:c r="M5" s="20" t="n">
        <x:v>1</x:v>
      </x:c>
      <x:c r="N5" s="19" t="str">
        <x:v>PRESERVED</x:v>
      </x:c>
      <x:c r="O5" s="22" t="str"/>
      <x:c r="P5" s="22" t="str"/>
      <x:c r="Q5" s="22" t="str"/>
    </x:row>
    <x:row r="6">
      <x:c r="A6" s="19" t="str">
        <x:v>RET-02</x:v>
      </x:c>
      <x:c r="B6" s="19" t="str">
        <x:v>学生公寓住宿规定、入住和退宿怎么办？</x:v>
      </x:c>
      <x:c r="C6" s="19" t="str">
        <x:v>学生公寓住宿规定如下：
1. 具有学校学籍的全日制在校学生具有申请入住资格。
2. 提出住宿申请，经批准后方可入住。
3. 与学生社区管理服务中心签订住宿协议。
4. 学生社区管理服务中心统筹安排。
5. 如需调整，提前告知相关学生配合搬家。
6. 办理入住手续后入住指定床位，未经批准不得擅自调换。
7. 遇疾病等特殊情况需调换床位，应向院系和学生社区管理服务中心申请。
8. 毕业、住宿协议到期、退学</x:v>
      </x:c>
      <x:c r="D6" s="19" t="str">
        <x:v>学生公寓住宿规定如下：
1. 具有学校学籍的全日制在校学生具有申请入住资格。
2. 提出住宿申请，经批准后方可入住。
3. 与学生社区管理服务中心签订住宿协议。
4. 学生社区管理服务中心统筹安排。
5. 如需调整，提前告知相关学生配合搬家。
6. 办理入住手续后入住指定床位，未经批准不得擅自调换。
7. 遇疾病等特殊情况需调换床位，应向院系和学生社区管理服务中心申请。
8. 毕业、住宿协议到期、退学</x:v>
      </x:c>
      <x:c r="E6" s="19" t="str">
        <x:v>NONCOMPLIANT</x:v>
      </x:c>
      <x:c r="F6" s="19" t="str">
        <x:v>NONCOMPLIANT</x:v>
      </x:c>
      <x:c r="G6" s="19" t="n">
        <x:v>10</x:v>
      </x:c>
      <x:c r="H6" s="19" t="n">
        <x:v>0</x:v>
      </x:c>
      <x:c r="I6" s="19" t="n">
        <x:v>0</x:v>
      </x:c>
      <x:c r="J6" s="19" t="n">
        <x:v>9</x:v>
      </x:c>
      <x:c r="K6" s="19" t="n">
        <x:v>0</x:v>
      </x:c>
      <x:c r="L6" s="20" t="n">
        <x:v>0</x:v>
      </x:c>
      <x:c r="M6" s="20"/>
      <x:c r="N6" s="19" t="str">
        <x:v>PRESERVED</x:v>
      </x:c>
      <x:c r="O6" s="22" t="str"/>
      <x:c r="P6" s="22" t="str"/>
      <x:c r="Q6" s="22" t="str"/>
    </x:row>
    <x:row r="7">
      <x:c r="A7" s="19" t="str">
        <x:v>RET-03</x:v>
      </x:c>
      <x:c r="B7" s="19" t="str">
        <x:v>清华校园网如何接入，账号或网络故障如何处理？</x:v>
      </x:c>
      <x:c r="C7" s="19" t="str">
        <x:v>清华校园网提供有线网络服务，无线网络服务，GPON光纤入户服务等。账号或网络故障可联系热线服务或在线服务进行处理。</x:v>
      </x:c>
      <x:c r="D7" s="19" t="str">
        <x:v>清华校园网提供有线网络服务，无线网络服务，GPON光纤入户服务等。账号或网络故障可联系热线服务或在线服务进行处理。</x:v>
      </x:c>
      <x:c r="E7" s="19" t="str">
        <x:v>NONCOMPLIANT</x:v>
      </x:c>
      <x:c r="F7" s="19" t="str">
        <x:v>NONCOMPLIANT</x:v>
      </x:c>
      <x:c r="G7" s="19" t="n">
        <x:v>2</x:v>
      </x:c>
      <x:c r="H7" s="19" t="n">
        <x:v>0</x:v>
      </x:c>
      <x:c r="I7" s="19" t="n">
        <x:v>0</x:v>
      </x:c>
      <x:c r="J7" s="19" t="n">
        <x:v>2</x:v>
      </x:c>
      <x:c r="K7" s="19" t="n">
        <x:v>0</x:v>
      </x:c>
      <x:c r="L7" s="20" t="n">
        <x:v>0</x:v>
      </x:c>
      <x:c r="M7" s="20"/>
      <x:c r="N7" s="19" t="str">
        <x:v>PRESERVED</x:v>
      </x:c>
      <x:c r="O7" s="22" t="str"/>
      <x:c r="P7" s="22" t="str"/>
      <x:c r="Q7" s="22" t="str"/>
    </x:row>
    <x:row r="8">
      <x:c r="A8" s="19" t="str">
        <x:v>RET-04</x:v>
      </x:c>
      <x:c r="B8" s="19" t="str">
        <x:v>清华校医院门诊、报销和就医流程是什么？</x:v>
      </x:c>
      <x:c r="C8" s="19" t="str">
        <x:v>清华校医院：门诊-检验医学科、输血科、超声科等；报销需咨询财务部门；就医流程可至官网查询。</x:v>
      </x:c>
      <x:c r="D8" s="19" t="str">
        <x:v>清华校医院：门诊-检验医学科、输血科、超声科等；报销需咨询财务部门；就医流程可至官网查询。</x:v>
      </x:c>
      <x:c r="E8" s="19" t="str">
        <x:v>NONCOMPLIANT</x:v>
      </x:c>
      <x:c r="F8" s="19" t="str">
        <x:v>NONCOMPLIANT</x:v>
      </x:c>
      <x:c r="G8" s="19" t="n">
        <x:v>3</x:v>
      </x:c>
      <x:c r="H8" s="19" t="n">
        <x:v>0</x:v>
      </x:c>
      <x:c r="I8" s="19" t="n">
        <x:v>0</x:v>
      </x:c>
      <x:c r="J8" s="19" t="n">
        <x:v>3</x:v>
      </x:c>
      <x:c r="K8" s="19" t="n">
        <x:v>0</x:v>
      </x:c>
      <x:c r="L8" s="20" t="n">
        <x:v>0</x:v>
      </x:c>
      <x:c r="M8" s="20"/>
      <x:c r="N8" s="19" t="str">
        <x:v>PRESERVED</x:v>
      </x:c>
      <x:c r="O8" s="22" t="str"/>
      <x:c r="P8" s="22" t="str"/>
      <x:c r="Q8" s="22" t="str"/>
    </x:row>
    <x:row r="9">
      <x:c r="A9" s="19" t="str">
        <x:v>RET-05</x:v>
      </x:c>
      <x:c r="B9" s="19" t="str">
        <x:v>清华大学图书馆如何借书、使用电子资源和查询开放时间？</x:v>
      </x:c>
      <x:c r="C9" s="19" t="str">
        <x:v>- 1
- 6
- 7
- 8
- 9
- 10
- 11
- 12</x:v>
      </x:c>
      <x:c r="D9" s="19" t="str">
        <x:v>- 1
- 6
- 7
- 8
- 9
- 10
- 11
- 12</x:v>
      </x:c>
      <x:c r="E9" s="19" t="str">
        <x:v>NONCOMPLIANT</x:v>
      </x:c>
      <x:c r="F9" s="19" t="str">
        <x:v>NONCOMPLIANT</x:v>
      </x:c>
      <x:c r="G9" s="19" t="n">
        <x:v>8</x:v>
      </x:c>
      <x:c r="H9" s="19" t="n">
        <x:v>0</x:v>
      </x:c>
      <x:c r="I9" s="19" t="n">
        <x:v>0</x:v>
      </x:c>
      <x:c r="J9" s="19" t="n">
        <x:v>0</x:v>
      </x:c>
      <x:c r="K9" s="19" t="n">
        <x:v>0</x:v>
      </x:c>
      <x:c r="L9" s="20" t="n">
        <x:v>1</x:v>
      </x:c>
      <x:c r="M9" s="20"/>
      <x:c r="N9" s="19" t="str">
        <x:v>PRESERVED</x:v>
      </x:c>
      <x:c r="O9" s="22" t="str"/>
      <x:c r="P9" s="22" t="str"/>
      <x:c r="Q9" s="22" t="str"/>
    </x:row>
    <x:row r="10">
      <x:c r="A10" s="19" t="str">
        <x:v>RET-06</x:v>
      </x:c>
      <x:c r="B10" s="19" t="str">
        <x:v>清华学生奖学金、助学金申请和评选办法是什么？</x:v>
      </x:c>
      <x:c r="C10" s="19" t="str">
        <x:v>清华学生奖学金、助学金评选办法如下：
- 特等奖学金面向全体本科生、研究生分别组织评选，每年表彰不超过二十名学生。
- 评选条件包括基本申请条件、道德品质优秀、学风端正、全面发展等。
- 现场答辩形式进行复评，形成推荐名单，提请校务会议审议。
- 奖学金获得者需在评选当年发放，并颁发荣誉证书。</x:v>
      </x:c>
      <x:c r="D10" s="19" t="str">
        <x:v>清华学生奖学金、助学金评选办法如下：
- 特等奖学金面向全体本科生、研究生分别组织评选，每年表彰不超过二十名学生。
- 评选条件包括基本申请条件、道德品质优秀、学风端正、全面发展等。
- 现场答辩形式进行复评，形成推荐名单，提请校务会议审议。
- 奖学金获得者需在评选当年发放，并颁发荣誉证书。</x:v>
      </x:c>
      <x:c r="E10" s="19" t="str">
        <x:v>NONCOMPLIANT</x:v>
      </x:c>
      <x:c r="F10" s="19" t="str">
        <x:v>NONCOMPLIANT</x:v>
      </x:c>
      <x:c r="G10" s="19" t="n">
        <x:v>5</x:v>
      </x:c>
      <x:c r="H10" s="19" t="n">
        <x:v>0</x:v>
      </x:c>
      <x:c r="I10" s="19" t="n">
        <x:v>0</x:v>
      </x:c>
      <x:c r="J10" s="19" t="n">
        <x:v>4</x:v>
      </x:c>
      <x:c r="K10" s="19" t="n">
        <x:v>0</x:v>
      </x:c>
      <x:c r="L10" s="20" t="n">
        <x:v>0</x:v>
      </x:c>
      <x:c r="M10" s="20"/>
      <x:c r="N10" s="19" t="str">
        <x:v>PRESERVED</x:v>
      </x:c>
      <x:c r="O10" s="22" t="str"/>
      <x:c r="P10" s="22" t="str"/>
      <x:c r="Q10" s="22" t="str"/>
    </x:row>
    <x:row r="11">
      <x:c r="A11" s="19" t="str">
        <x:v>RET-07</x:v>
      </x:c>
      <x:c r="B11" s="19" t="str">
        <x:v>清华学生如何获得就业指导、招聘与职业咨询？</x:v>
      </x:c>
      <x:c r="C11" s="19" t="str">
        <x:v>清华学生可预约个体咨询，由30余位咨询师提供个性化指导。生涯咨询涵盖自我了解、职业探索、方向选择、简历与面试、求职心理等方面。清华学生职业发展指导中心有近30位咨询师，可为不同学历、不同年级的学生提供系统性的生涯辅导。</x:v>
      </x:c>
      <x:c r="D11" s="19" t="str">
        <x:v>清华学生可预约个体咨询，由30余位咨询师提供个性化指导。生涯咨询涵盖自我了解、职业探索、方向选择、简历与面试、求职心理等方面。[1]清华学生职业发展指导中心有近30位咨询师，可为不同学历、不同年级的学生提供系统性的生涯辅导。
参考资料：
[1] 个体咨询（校内导师） — https://career.tsinghua.edu.cn/info/1008/2435.htm</x:v>
      </x:c>
      <x:c r="E11" s="19" t="str">
        <x:v>NONCOMPLIANT</x:v>
      </x:c>
      <x:c r="F11" s="19" t="str">
        <x:v>NONCOMPLIANT</x:v>
      </x:c>
      <x:c r="G11" s="19" t="n">
        <x:v>5</x:v>
      </x:c>
      <x:c r="H11" s="19" t="n">
        <x:v>0</x:v>
      </x:c>
      <x:c r="I11" s="19" t="n">
        <x:v>1</x:v>
      </x:c>
      <x:c r="J11" s="19" t="n">
        <x:v>4</x:v>
      </x:c>
      <x:c r="K11" s="19" t="n">
        <x:v>1</x:v>
      </x:c>
      <x:c r="L11" s="20" t="n">
        <x:v>0.2</x:v>
      </x:c>
      <x:c r="M11" s="20" t="n">
        <x:v>1</x:v>
      </x:c>
      <x:c r="N11" s="19" t="str">
        <x:v>PRESERVED</x:v>
      </x:c>
      <x:c r="O11" s="22" t="str"/>
      <x:c r="P11" s="22" t="str"/>
      <x:c r="Q11" s="22" t="str"/>
    </x:row>
    <x:row r="12">
      <x:c r="A12" s="19" t="str">
        <x:v>RET-08</x:v>
      </x:c>
      <x:c r="B12" s="19" t="str">
        <x:v>校内食堂、餐饮服务和就餐信息在哪里查询？</x:v>
      </x:c>
      <x:c r="C12" s="19" t="str">
        <x:v>清华大学食堂信息：[C1]丁香园食堂、闻馨园食堂、双清园食堂；餐饮服务：[C2]饮食服务中心；就餐信息：[C5]教工餐厅。</x:v>
      </x:c>
      <x:c r="D12" s="19" t="str">
        <x:v>清华大学食堂信息：[C1]丁香园食堂、闻馨园食堂、双清园食堂；餐饮服务：[C2]饮食服务中心；就餐信息：[C5]教工餐厅。</x:v>
      </x:c>
      <x:c r="E12" s="19" t="str">
        <x:v>NONCOMPLIANT</x:v>
      </x:c>
      <x:c r="F12" s="19" t="str">
        <x:v>NONCOMPLIANT</x:v>
      </x:c>
      <x:c r="G12" s="19" t="n">
        <x:v>3</x:v>
      </x:c>
      <x:c r="H12" s="19" t="n">
        <x:v>0</x:v>
      </x:c>
      <x:c r="I12" s="19" t="n">
        <x:v>0</x:v>
      </x:c>
      <x:c r="J12" s="19" t="n">
        <x:v>3</x:v>
      </x:c>
      <x:c r="K12" s="19" t="n">
        <x:v>0</x:v>
      </x:c>
      <x:c r="L12" s="20" t="n">
        <x:v>0</x:v>
      </x:c>
      <x:c r="M12" s="20"/>
      <x:c r="N12" s="19" t="str">
        <x:v>PRESERVED</x:v>
      </x:c>
      <x:c r="O12" s="22" t="str"/>
      <x:c r="P12" s="22" t="str"/>
      <x:c r="Q12" s="22" t="str"/>
    </x:row>
    <x:row r="13">
      <x:c r="A13" s="19" t="str">
        <x:v>RET-09</x:v>
      </x:c>
      <x:c r="B13" s="19" t="str">
        <x:v>校园交通、校车和进出校路线怎么查询？</x:v>
      </x:c>
      <x:c r="C13" s="19" t="str">
        <x:v>根据当前资料无法确认。</x:v>
      </x:c>
      <x:c r="D13" s="19" t="str">
        <x:v>根据当前资料无法确认。</x:v>
      </x:c>
      <x:c r="E13" s="19" t="str">
        <x:v>COMPLIANT</x:v>
      </x:c>
      <x:c r="F13" s="19" t="str">
        <x:v>COMPLIANT</x:v>
      </x:c>
      <x:c r="G13" s="19" t="n">
        <x:v>1</x:v>
      </x:c>
      <x:c r="H13" s="19" t="n">
        <x:v>0</x:v>
      </x:c>
      <x:c r="I13" s="19" t="n">
        <x:v>0</x:v>
      </x:c>
      <x:c r="J13" s="19" t="n">
        <x:v>0</x:v>
      </x:c>
      <x:c r="K13" s="19" t="n">
        <x:v>0</x:v>
      </x:c>
      <x:c r="L13" s="20" t="n">
        <x:v>1</x:v>
      </x:c>
      <x:c r="M13" s="20"/>
      <x:c r="N13" s="19" t="str">
        <x:v>PRESERVED</x:v>
      </x:c>
      <x:c r="O13" s="22" t="str"/>
      <x:c r="P13" s="22" t="str"/>
      <x:c r="Q13" s="22" t="str"/>
    </x:row>
    <x:row r="14">
      <x:c r="A14" s="19" t="str">
        <x:v>RET-10</x:v>
      </x:c>
      <x:c r="B14" s="19" t="str">
        <x:v>体育场馆如何预约、查询开放时间和使用规则？</x:v>
      </x:c>
      <x:c r="C14" s="19" t="str">
        <x:v>体育场馆预约：应用导航-场地资源预约。开放时间及使用规则：根据当前资料无法确认。</x:v>
      </x:c>
      <x:c r="D14" s="19" t="str">
        <x:v>体育场馆预约：应用导航-场地资源预约。开放时间及使用规则：根据当前资料无法确认。</x:v>
      </x:c>
      <x:c r="E14" s="19" t="str">
        <x:v>NONCOMPLIANT</x:v>
      </x:c>
      <x:c r="F14" s="19" t="str">
        <x:v>NONCOMPLIANT</x:v>
      </x:c>
      <x:c r="G14" s="19" t="n">
        <x:v>2</x:v>
      </x:c>
      <x:c r="H14" s="19" t="n">
        <x:v>0</x:v>
      </x:c>
      <x:c r="I14" s="19" t="n">
        <x:v>0</x:v>
      </x:c>
      <x:c r="J14" s="19" t="n">
        <x:v>2</x:v>
      </x:c>
      <x:c r="K14" s="19" t="n">
        <x:v>0</x:v>
      </x:c>
      <x:c r="L14" s="20" t="n">
        <x:v>0</x:v>
      </x:c>
      <x:c r="M14" s="20"/>
      <x:c r="N14" s="19" t="str">
        <x:v>PRESERVED</x:v>
      </x:c>
      <x:c r="O14" s="22" t="str"/>
      <x:c r="P14" s="22" t="str"/>
      <x:c r="Q14" s="22" t="str"/>
    </x:row>
    <x:row r="15">
      <x:c r="A15" s="19" t="str">
        <x:v>PROV-001</x:v>
      </x:c>
      <x:c r="B15" s="19" t="str">
        <x:v>本科新生不能按时报到时如何请假或申请保留入学资格？</x:v>
      </x:c>
      <x:c r="C15" s="19" t="str">
        <x:v>新生不能按时报到时，可以向录取学院、学系请假，并申请保留入学资格。</x:v>
      </x:c>
      <x:c r="D15" s="19" t="str">
        <x:v>新生不能按时报到时，可以向录取学院、学系请假，并申请保留入学资格。</x:v>
      </x:c>
      <x:c r="E15" s="19" t="str">
        <x:v>NONCOMPLIANT</x:v>
      </x:c>
      <x:c r="F15" s="19" t="str">
        <x:v>NONCOMPLIANT</x:v>
      </x:c>
      <x:c r="G15" s="19" t="n">
        <x:v>3</x:v>
      </x:c>
      <x:c r="H15" s="19" t="n">
        <x:v>0</x:v>
      </x:c>
      <x:c r="I15" s="19" t="n">
        <x:v>0</x:v>
      </x:c>
      <x:c r="J15" s="19" t="n">
        <x:v>3</x:v>
      </x:c>
      <x:c r="K15" s="19" t="n">
        <x:v>0</x:v>
      </x:c>
      <x:c r="L15" s="20" t="n">
        <x:v>0</x:v>
      </x:c>
      <x:c r="M15" s="20"/>
      <x:c r="N15" s="19" t="str">
        <x:v>PRESERVED</x:v>
      </x:c>
      <x:c r="O15" s="22" t="str"/>
      <x:c r="P15" s="22" t="str"/>
      <x:c r="Q15" s="22" t="str"/>
    </x:row>
    <x:row r="16">
      <x:c r="A16" s="19" t="str">
        <x:v>PROV-002</x:v>
      </x:c>
      <x:c r="B16" s="19" t="str">
        <x:v>在校本科生或研究生办理在学证明，可以去哪里申请和打印？</x:v>
      </x:c>
      <x:c r="C16" s="19" t="str">
        <x:v>在校本科生或研究生办理在学证明，可以到所在院系教学办审批并签字盖章。如需打印，可到自助服务终端（六教A区零层入口处、紫荆C楼102）直接办理，或到注册中心（紫荆C楼201）手工办理。</x:v>
      </x:c>
      <x:c r="D16" s="19" t="str">
        <x:v>在校本科生或研究生办理在学证明，可以到所在院系教学办审批并签字盖章。如需打印，可到自助服务终端（六教A区零层入口处、紫荆C楼102）直接办理，或到注册中心（紫荆C楼201）手工办理。</x:v>
      </x:c>
      <x:c r="E16" s="19" t="str">
        <x:v>NONCOMPLIANT</x:v>
      </x:c>
      <x:c r="F16" s="19" t="str">
        <x:v>NONCOMPLIANT</x:v>
      </x:c>
      <x:c r="G16" s="19" t="n">
        <x:v>4</x:v>
      </x:c>
      <x:c r="H16" s="19" t="n">
        <x:v>0</x:v>
      </x:c>
      <x:c r="I16" s="19" t="n">
        <x:v>0</x:v>
      </x:c>
      <x:c r="J16" s="19" t="n">
        <x:v>4</x:v>
      </x:c>
      <x:c r="K16" s="19" t="n">
        <x:v>0</x:v>
      </x:c>
      <x:c r="L16" s="20" t="n">
        <x:v>0</x:v>
      </x:c>
      <x:c r="M16" s="20"/>
      <x:c r="N16" s="19" t="str">
        <x:v>PRESERVED</x:v>
      </x:c>
      <x:c r="O16" s="22" t="str"/>
      <x:c r="P16" s="22" t="str"/>
      <x:c r="Q16" s="22" t="str"/>
    </x:row>
    <x:row r="17">
      <x:c r="A17" s="19" t="str">
        <x:v>PROV-003</x:v>
      </x:c>
      <x:c r="B17" s="19" t="str">
        <x:v>学生不服学校处理或纪律处分时，校内申诉由哪个机构办理？</x:v>
      </x:c>
      <x:c r="C17" s="19" t="str">
        <x:v>学生不服学校处理或纪律处分时，校内申诉由学生申诉处理委员会办理。</x:v>
      </x:c>
      <x:c r="D17" s="19" t="str">
        <x:v>学生不服学校处理或纪律处分时，校内申诉由学生申诉处理委员会办理。</x:v>
      </x:c>
      <x:c r="E17" s="19" t="str">
        <x:v>NONCOMPLIANT</x:v>
      </x:c>
      <x:c r="F17" s="19" t="str">
        <x:v>NONCOMPLIANT</x:v>
      </x:c>
      <x:c r="G17" s="19" t="n">
        <x:v>1</x:v>
      </x:c>
      <x:c r="H17" s="19" t="n">
        <x:v>0</x:v>
      </x:c>
      <x:c r="I17" s="19" t="n">
        <x:v>0</x:v>
      </x:c>
      <x:c r="J17" s="19" t="n">
        <x:v>1</x:v>
      </x:c>
      <x:c r="K17" s="19" t="n">
        <x:v>0</x:v>
      </x:c>
      <x:c r="L17" s="20" t="n">
        <x:v>0</x:v>
      </x:c>
      <x:c r="M17" s="20"/>
      <x:c r="N17" s="19" t="str">
        <x:v>PRESERVED</x:v>
      </x:c>
      <x:c r="O17" s="22" t="str"/>
      <x:c r="P17" s="22" t="str"/>
      <x:c r="Q17" s="22" t="str"/>
    </x:row>
    <x:row r="18">
      <x:c r="A18" s="19" t="str">
        <x:v>PROV-004</x:v>
      </x:c>
      <x:c r="B18" s="19" t="str">
        <x:v>清华学生社团的建设、成立和日常管理依据什么办法？</x:v>
      </x:c>
      <x:c r="C18" s="19" t="str">
        <x:v>清华学生社团的建设、成立和日常管理依据《清华大学学生社团建设管理办法》。</x:v>
      </x:c>
      <x:c r="D18" s="19" t="str">
        <x:v>清华学生社团的建设、成立和日常管理依据《清华大学学生社团建设管理办法》。[1]
参考资料：
[1]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 https://qzc.tsinghua.edu.cn/info/1029/1447.htm</x:v>
      </x:c>
      <x:c r="E18" s="19" t="str">
        <x:v>NONCOMPLIANT</x:v>
      </x:c>
      <x:c r="F18" s="19" t="str">
        <x:v>COMPLIANT</x:v>
      </x:c>
      <x:c r="G18" s="19" t="n">
        <x:v>1</x:v>
      </x:c>
      <x:c r="H18" s="19" t="n">
        <x:v>1</x:v>
      </x:c>
      <x:c r="I18" s="19" t="n">
        <x:v>0</x:v>
      </x:c>
      <x:c r="J18" s="19" t="n">
        <x:v>0</x:v>
      </x:c>
      <x:c r="K18" s="19" t="n">
        <x:v>1</x:v>
      </x:c>
      <x:c r="L18" s="20" t="n">
        <x:v>1</x:v>
      </x:c>
      <x:c r="M18" s="20" t="n">
        <x:v>1</x:v>
      </x:c>
      <x:c r="N18" s="19" t="str">
        <x:v>PRESERVED</x:v>
      </x:c>
      <x:c r="O18" s="22" t="str"/>
      <x:c r="P18" s="22" t="str"/>
      <x:c r="Q18" s="22" t="str"/>
    </x:row>
    <x:row r="19">
      <x:c r="A19" s="19" t="str">
        <x:v>PROV-005</x:v>
      </x:c>
      <x:c r="B19" s="19" t="str">
        <x:v>学生想申请调整宿舍，应查看什么办理流程？</x:v>
      </x:c>
      <x:c r="C19" s="19" t="str">
        <x:v>应查看《清华大学学生宿舍申请表》并提交给院系主管学生工作负责人签字、盖章。</x:v>
      </x:c>
      <x:c r="D19" s="19" t="str">
        <x:v>应查看《清华大学学生宿舍申请表》并提交给院系主管学生工作负责人签字、盖章。</x:v>
      </x:c>
      <x:c r="E19" s="19" t="str">
        <x:v>NONCOMPLIANT</x:v>
      </x:c>
      <x:c r="F19" s="19" t="str">
        <x:v>NONCOMPLIANT</x:v>
      </x:c>
      <x:c r="G19" s="19" t="n">
        <x:v>1</x:v>
      </x:c>
      <x:c r="H19" s="19" t="n">
        <x:v>0</x:v>
      </x:c>
      <x:c r="I19" s="19" t="n">
        <x:v>0</x:v>
      </x:c>
      <x:c r="J19" s="19" t="n">
        <x:v>1</x:v>
      </x:c>
      <x:c r="K19" s="19" t="n">
        <x:v>0</x:v>
      </x:c>
      <x:c r="L19" s="20" t="n">
        <x:v>0</x:v>
      </x:c>
      <x:c r="M19" s="20"/>
      <x:c r="N19" s="19" t="str">
        <x:v>PRESERVED</x:v>
      </x:c>
      <x:c r="O19" s="22" t="str"/>
      <x:c r="P19" s="22" t="str"/>
      <x:c r="Q19" s="22" t="str"/>
    </x:row>
    <x:row r="20">
      <x:c r="A20" s="19" t="str">
        <x:v>PROV-006</x:v>
      </x:c>
      <x:c r="B20" s="19" t="str">
        <x:v>给住在清华学生社区的同学寄快递时，邮寄地址和邮编在哪里查？</x:v>
      </x:c>
      <x:c r="C20" s="19" t="str">
        <x:v>请查看清华档案馆官网或学生职业发展指导中心网站，查询邮寄地址和邮编。</x:v>
      </x:c>
      <x:c r="D20" s="19" t="str">
        <x:v>请查看清华档案馆官网或学生职业发展指导中心网站，查询邮寄地址和邮编。</x:v>
      </x:c>
      <x:c r="E20" s="19" t="str">
        <x:v>NONCOMPLIANT</x:v>
      </x:c>
      <x:c r="F20" s="19" t="str">
        <x:v>NONCOMPLIANT</x:v>
      </x:c>
      <x:c r="G20" s="19" t="n">
        <x:v>2</x:v>
      </x:c>
      <x:c r="H20" s="19" t="n">
        <x:v>0</x:v>
      </x:c>
      <x:c r="I20" s="19" t="n">
        <x:v>0</x:v>
      </x:c>
      <x:c r="J20" s="19" t="n">
        <x:v>2</x:v>
      </x:c>
      <x:c r="K20" s="19" t="n">
        <x:v>0</x:v>
      </x:c>
      <x:c r="L20" s="20" t="n">
        <x:v>0</x:v>
      </x:c>
      <x:c r="M20" s="20"/>
      <x:c r="N20" s="19" t="str">
        <x:v>PRESERVED</x:v>
      </x:c>
      <x:c r="O20" s="22" t="str"/>
      <x:c r="P20" s="22" t="str"/>
      <x:c r="Q20" s="22" t="str"/>
    </x:row>
    <x:row r="21">
      <x:c r="A21" s="19" t="str">
        <x:v>PROV-007</x:v>
      </x:c>
      <x:c r="B21" s="19" t="str">
        <x:v>负责清华校内食堂和餐饮保障的是哪个饮食服务部门？</x:v>
      </x:c>
      <x:c r="C21" s="19" t="str">
        <x:v>饮食服务中心</x:v>
      </x:c>
      <x:c r="D21" s="19" t="str">
        <x:v>饮食服务中心</x:v>
      </x:c>
      <x:c r="E21" s="19" t="str">
        <x:v>NONCOMPLIANT</x:v>
      </x:c>
      <x:c r="F21" s="19" t="str">
        <x:v>NONCOMPLIANT</x:v>
      </x:c>
      <x:c r="G21" s="19" t="n">
        <x:v>1</x:v>
      </x:c>
      <x:c r="H21" s="19" t="n">
        <x:v>0</x:v>
      </x:c>
      <x:c r="I21" s="19" t="n">
        <x:v>0</x:v>
      </x:c>
      <x:c r="J21" s="19" t="n">
        <x:v>1</x:v>
      </x:c>
      <x:c r="K21" s="19" t="n">
        <x:v>0</x:v>
      </x:c>
      <x:c r="L21" s="20" t="n">
        <x:v>0</x:v>
      </x:c>
      <x:c r="M21" s="20"/>
      <x:c r="N21" s="19" t="str">
        <x:v>PRESERVED</x:v>
      </x:c>
      <x:c r="O21" s="22" t="str"/>
      <x:c r="P21" s="22" t="str"/>
      <x:c r="Q21" s="22" t="str"/>
    </x:row>
    <x:row r="22">
      <x:c r="A22" s="19" t="str">
        <x:v>PROV-008</x:v>
      </x:c>
      <x:c r="B22" s="19" t="str">
        <x:v>教职工想查询校内教工餐厅信息，应查看哪份校园服务资料？</x:v>
      </x:c>
      <x:c r="C22" s="19" t="str">
        <x:v>教工餐厅信息应查看教工餐厅资料。</x:v>
      </x:c>
      <x:c r="D22" s="19" t="str">
        <x:v>教工餐厅信息应查看教工餐厅资料。</x:v>
      </x:c>
      <x:c r="E22" s="19" t="str">
        <x:v>NONCOMPLIANT</x:v>
      </x:c>
      <x:c r="F22" s="19" t="str">
        <x:v>NONCOMPLIANT</x:v>
      </x:c>
      <x:c r="G22" s="19" t="n">
        <x:v>1</x:v>
      </x:c>
      <x:c r="H22" s="19" t="n">
        <x:v>0</x:v>
      </x:c>
      <x:c r="I22" s="19" t="n">
        <x:v>0</x:v>
      </x:c>
      <x:c r="J22" s="19" t="n">
        <x:v>1</x:v>
      </x:c>
      <x:c r="K22" s="19" t="n">
        <x:v>0</x:v>
      </x:c>
      <x:c r="L22" s="20" t="n">
        <x:v>0</x:v>
      </x:c>
      <x:c r="M22" s="20"/>
      <x:c r="N22" s="19" t="str">
        <x:v>PRESERVED</x:v>
      </x:c>
      <x:c r="O22" s="22" t="str"/>
      <x:c r="P22" s="22" t="str"/>
      <x:c r="Q22" s="22" t="str"/>
    </x:row>
    <x:row r="23">
      <x:c r="A23" s="19" t="str">
        <x:v>PROV-009</x:v>
      </x:c>
      <x:c r="B23" s="19" t="str">
        <x:v>清华校车线路、班次和校园出入口交通指引在哪里查？</x:v>
      </x:c>
      <x:c r="C23" s="19" t="str">
        <x:v>请查看清华接待服务中心的官方公众号或小程序，其中详细列出了校车线路、班次和校园出入口交通指引。</x:v>
      </x:c>
      <x:c r="D23" s="19" t="str">
        <x:v>请查看清华接待服务中心的官方公众号或小程序，其中详细列出了校车线路、班次和校园出入口交通指引。</x:v>
      </x:c>
      <x:c r="E23" s="19" t="str">
        <x:v>NONCOMPLIANT</x:v>
      </x:c>
      <x:c r="F23" s="19" t="str">
        <x:v>NONCOMPLIANT</x:v>
      </x:c>
      <x:c r="G23" s="19" t="n">
        <x:v>1</x:v>
      </x:c>
      <x:c r="H23" s="19" t="n">
        <x:v>0</x:v>
      </x:c>
      <x:c r="I23" s="19" t="n">
        <x:v>0</x:v>
      </x:c>
      <x:c r="J23" s="19" t="n">
        <x:v>1</x:v>
      </x:c>
      <x:c r="K23" s="19" t="n">
        <x:v>0</x:v>
      </x:c>
      <x:c r="L23" s="20" t="n">
        <x:v>0</x:v>
      </x:c>
      <x:c r="M23" s="20"/>
      <x:c r="N23" s="19" t="str">
        <x:v>PRESERVED</x:v>
      </x:c>
      <x:c r="O23" s="22" t="str"/>
      <x:c r="P23" s="22" t="str"/>
      <x:c r="Q23" s="22" t="str"/>
    </x:row>
    <x:row r="24">
      <x:c r="A24" s="19" t="str">
        <x:v>PROV-010</x:v>
      </x:c>
      <x:c r="B24" s="19" t="str">
        <x:v>在清华办理生育医疗费用报销需要查看什么程序？</x:v>
      </x:c>
      <x:c r="C24" s="19" t="str">
        <x:v>在清华办理生育医疗费用报销需要查看以下程序：
1. 生育医疗报销程序 - 清华大学信息门户
2. 医保定点医院选择
3. 出示“社会保障卡”
4. 提交相关材料
5. 填写《北京市生育保险医疗费用手工报销申报表》</x:v>
      </x:c>
      <x:c r="D24" s="19" t="str">
        <x:v>在清华办理生育医疗费用报销需要查看以下程序：
1. 生育医疗报销程序 - 清华大学信息门户[1]
2. 医保定点医院选择
3. 出示“社会保障卡”
4. 提交相关材料
5. 填写《北京市生育保险医疗费用手工报销申报表》
参考资料：
[1] 生育医疗报销程序 - 清华大学信息门户 — https://info.tsinghua.edu.cn/f/info/xxfb_fg/xnzx/template/detail?xxid=663ad10bbe42431aa4a65c0d658bfb96</x:v>
      </x:c>
      <x:c r="E24" s="19" t="str">
        <x:v>NONCOMPLIANT</x:v>
      </x:c>
      <x:c r="F24" s="19" t="str">
        <x:v>NONCOMPLIANT</x:v>
      </x:c>
      <x:c r="G24" s="19" t="n">
        <x:v>6</x:v>
      </x:c>
      <x:c r="H24" s="19" t="n">
        <x:v>0</x:v>
      </x:c>
      <x:c r="I24" s="19" t="n">
        <x:v>1</x:v>
      </x:c>
      <x:c r="J24" s="19" t="n">
        <x:v>5</x:v>
      </x:c>
      <x:c r="K24" s="19" t="n">
        <x:v>1</x:v>
      </x:c>
      <x:c r="L24" s="20" t="n">
        <x:v>0.16666666666666666</x:v>
      </x:c>
      <x:c r="M24" s="20" t="n">
        <x:v>1</x:v>
      </x:c>
      <x:c r="N24" s="19" t="str">
        <x:v>PRESERVED</x:v>
      </x:c>
      <x:c r="O24" s="22" t="str"/>
      <x:c r="P24" s="22" t="str"/>
      <x:c r="Q24" s="22" t="str"/>
    </x:row>
    <x:row r="25">
      <x:c r="A25" s="19" t="str">
        <x:v>PROV-011</x:v>
      </x:c>
      <x:c r="B25" s="19" t="str">
        <x:v>清华大学医院能否通过北京114平台预约挂号？</x:v>
      </x:c>
      <x:c r="C25" s="19" t="str">
        <x:v>可以，清华大学医院自2024年7月1日起与北京市114预约挂号平台实现直连。</x:v>
      </x:c>
      <x:c r="D25" s="19" t="str">
        <x:v>可以，清华大学医院自2024年7月1日起与北京市114预约挂号平台实现直连。[1]
参考资料：
[1] 清华大学医院可在114平台预约挂号啦！-清华大学医学院 — https://www.med.tsinghua.edu.cn/info/1407/4477.htm</x:v>
      </x:c>
      <x:c r="E25" s="19" t="str">
        <x:v>NONCOMPLIANT</x:v>
      </x:c>
      <x:c r="F25" s="19" t="str">
        <x:v>COMPLIANT</x:v>
      </x:c>
      <x:c r="G25" s="19" t="n">
        <x:v>1</x:v>
      </x:c>
      <x:c r="H25" s="19" t="n">
        <x:v>1</x:v>
      </x:c>
      <x:c r="I25" s="19" t="n">
        <x:v>0</x:v>
      </x:c>
      <x:c r="J25" s="19" t="n">
        <x:v>0</x:v>
      </x:c>
      <x:c r="K25" s="19" t="n">
        <x:v>1</x:v>
      </x:c>
      <x:c r="L25" s="20" t="n">
        <x:v>1</x:v>
      </x:c>
      <x:c r="M25" s="20" t="n">
        <x:v>1</x:v>
      </x:c>
      <x:c r="N25" s="19" t="str">
        <x:v>PRESERVED</x:v>
      </x:c>
      <x:c r="O25" s="22" t="str"/>
      <x:c r="P25" s="22" t="str"/>
      <x:c r="Q25" s="22" t="str"/>
    </x:row>
    <x:row r="26">
      <x:c r="A26" s="19" t="str">
        <x:v>PROV-012</x:v>
      </x:c>
      <x:c r="B26" s="19" t="str">
        <x:v>校园网络运行和基础网络服务的信息由哪份资料说明？</x:v>
      </x:c>
      <x:c r="C26" s="19" t="str">
        <x:v>校园网络运行和基础网络服务的信息由资料[C1]说明。</x:v>
      </x:c>
      <x:c r="D26" s="19" t="str">
        <x:v>校园网络运行和基础网络服务的信息由资料[C1]说明。[1]
参考资料：
[1] 校园网络运行 — https://www.itc.tsinghua.edu.cn/ggfwsd/xywlyx.htm</x:v>
      </x:c>
      <x:c r="E26" s="19" t="str">
        <x:v>NONCOMPLIANT</x:v>
      </x:c>
      <x:c r="F26" s="19" t="str">
        <x:v>COMPLIANT</x:v>
      </x:c>
      <x:c r="G26" s="19" t="n">
        <x:v>1</x:v>
      </x:c>
      <x:c r="H26" s="19" t="n">
        <x:v>0</x:v>
      </x:c>
      <x:c r="I26" s="19" t="n">
        <x:v>1</x:v>
      </x:c>
      <x:c r="J26" s="19" t="n">
        <x:v>0</x:v>
      </x:c>
      <x:c r="K26" s="19" t="n">
        <x:v>1</x:v>
      </x:c>
      <x:c r="L26" s="20" t="n">
        <x:v>1</x:v>
      </x:c>
      <x:c r="M26" s="20" t="n">
        <x:v>1</x:v>
      </x:c>
      <x:c r="N26" s="19" t="str">
        <x:v>PRESERVED</x:v>
      </x:c>
      <x:c r="O26" s="22" t="str"/>
      <x:c r="P26" s="22" t="str"/>
      <x:c r="Q26" s="22" t="str"/>
    </x:row>
    <x:row r="27">
      <x:c r="A27" s="19" t="str">
        <x:v>PROV-013</x:v>
      </x:c>
      <x:c r="B27" s="19" t="str">
        <x:v>遇到学校信息化账号或网络使用问题时，应到哪里寻找用户服务？</x:v>
      </x:c>
      <x:c r="C27" s="19" t="str">
        <x:v>遇到学校信息化账号或网络使用问题时，应到用户服务大厅寻求帮助。</x:v>
      </x:c>
      <x:c r="D27" s="19" t="str">
        <x:v>遇到学校信息化账号或网络使用问题时，应到用户服务大厅寻求帮助。</x:v>
      </x:c>
      <x:c r="E27" s="19" t="str">
        <x:v>NONCOMPLIANT</x:v>
      </x:c>
      <x:c r="F27" s="19" t="str">
        <x:v>NONCOMPLIANT</x:v>
      </x:c>
      <x:c r="G27" s="19" t="n">
        <x:v>2</x:v>
      </x:c>
      <x:c r="H27" s="19" t="n">
        <x:v>0</x:v>
      </x:c>
      <x:c r="I27" s="19" t="n">
        <x:v>0</x:v>
      </x:c>
      <x:c r="J27" s="19" t="n">
        <x:v>2</x:v>
      </x:c>
      <x:c r="K27" s="19" t="n">
        <x:v>0</x:v>
      </x:c>
      <x:c r="L27" s="20" t="n">
        <x:v>0</x:v>
      </x:c>
      <x:c r="M27" s="20"/>
      <x:c r="N27" s="19" t="str">
        <x:v>PRESERVED</x:v>
      </x:c>
      <x:c r="O27" s="22" t="str"/>
      <x:c r="P27" s="22" t="str"/>
      <x:c r="Q27" s="22" t="str"/>
    </x:row>
    <x:row r="28">
      <x:c r="A28" s="19" t="str">
        <x:v>PROV-014</x:v>
      </x:c>
      <x:c r="B28" s="19" t="str">
        <x:v>清华图书馆图书借还的规则和操作说明在哪里？</x:v>
      </x:c>
      <x:c r="C28" s="19" t="str">
        <x:v>图书借还规则和操作说明在清华图书馆主页上。</x:v>
      </x:c>
      <x:c r="D28" s="19" t="str">
        <x:v>图书借还规则和操作说明在清华图书馆主页上。</x:v>
      </x:c>
      <x:c r="E28" s="19" t="str">
        <x:v>NONCOMPLIANT</x:v>
      </x:c>
      <x:c r="F28" s="19" t="str">
        <x:v>NONCOMPLIANT</x:v>
      </x:c>
      <x:c r="G28" s="19" t="n">
        <x:v>1</x:v>
      </x:c>
      <x:c r="H28" s="19" t="n">
        <x:v>0</x:v>
      </x:c>
      <x:c r="I28" s="19" t="n">
        <x:v>0</x:v>
      </x:c>
      <x:c r="J28" s="19" t="n">
        <x:v>1</x:v>
      </x:c>
      <x:c r="K28" s="19" t="n">
        <x:v>0</x:v>
      </x:c>
      <x:c r="L28" s="20" t="n">
        <x:v>0</x:v>
      </x:c>
      <x:c r="M28" s="20"/>
      <x:c r="N28" s="19" t="str">
        <x:v>PRESERVED</x:v>
      </x:c>
      <x:c r="O28" s="22" t="str"/>
      <x:c r="P28" s="22" t="str"/>
      <x:c r="Q28" s="22" t="str"/>
    </x:row>
    <x:row r="29">
      <x:c r="A29" s="19" t="str">
        <x:v>PROV-015</x:v>
      </x:c>
      <x:c r="B29" s="19" t="str">
        <x:v>进入清华大学图书馆需要遵守什么入馆管理办法？</x:v>
      </x:c>
      <x:c r="C29" s="19" t="str">
        <x:v>进入清华大学图书馆需要遵守以下入馆管理办法：
1. 校内读者凭本人有效图书证入馆。
2. 校外读者按规定办理手续后入馆。
3. 清华校友凭校友卡或毕业证（或复印件），附上有效身份证件，可进入校图书馆。
4. 注意防火安全，严禁在馆内吸烟。
5. 饮料需置于防溢出容器内，不可携带气味食物、外卖盒餐等入馆。
6. 保持安静，手持电话置于静音状态。
7. 衣着整齐，举止文明礼貌。
8.</x:v>
      </x:c>
      <x:c r="D29" s="19" t="str">
        <x:v>进入清华大学图书馆需要遵守以下入馆管理办法：
1. 校内读者凭本人有效图书证入馆。
2. 校外读者按规定办理手续后入馆。
3. 清华校友凭校友卡或毕业证（或复印件），附上有效身份证件，可进入校图书馆。
4. 注意防火安全，严禁在馆内吸烟。
5. 饮料需置于防溢出容器内，不可携带气味食物、外卖盒餐等入馆。
6. 保持安静，手持电话置于静音状态。
7. 衣着整齐，举止文明礼貌。
8.</x:v>
      </x:c>
      <x:c r="E29" s="19" t="str">
        <x:v>NONCOMPLIANT</x:v>
      </x:c>
      <x:c r="F29" s="19" t="str">
        <x:v>NONCOMPLIANT</x:v>
      </x:c>
      <x:c r="G29" s="19" t="n">
        <x:v>9</x:v>
      </x:c>
      <x:c r="H29" s="19" t="n">
        <x:v>0</x:v>
      </x:c>
      <x:c r="I29" s="19" t="n">
        <x:v>0</x:v>
      </x:c>
      <x:c r="J29" s="19" t="n">
        <x:v>9</x:v>
      </x:c>
      <x:c r="K29" s="19" t="n">
        <x:v>0</x:v>
      </x:c>
      <x:c r="L29" s="20" t="n">
        <x:v>0</x:v>
      </x:c>
      <x:c r="M29" s="20"/>
      <x:c r="N29" s="19" t="str">
        <x:v>PRESERVED</x:v>
      </x:c>
      <x:c r="O29" s="22" t="str"/>
      <x:c r="P29" s="22" t="str"/>
      <x:c r="Q29" s="22" t="str"/>
    </x:row>
    <x:row r="30">
      <x:c r="A30" s="19" t="str">
        <x:v>PROV-016</x:v>
      </x:c>
      <x:c r="B30" s="19" t="str">
        <x:v>清华师生如何使用馆际互借服务获取外馆文献？</x:v>
      </x:c>
      <x:c r="C30" s="19" t="str">
        <x:v>清华师生可通过馆际互借服务获取外馆文献。</x:v>
      </x:c>
      <x:c r="D30" s="19" t="str">
        <x:v>清华师生可通过馆际互借服务获取外馆文献。</x:v>
      </x:c>
      <x:c r="E30" s="19" t="str">
        <x:v>NONCOMPLIANT</x:v>
      </x:c>
      <x:c r="F30" s="19" t="str">
        <x:v>NONCOMPLIANT</x:v>
      </x:c>
      <x:c r="G30" s="19" t="n">
        <x:v>1</x:v>
      </x:c>
      <x:c r="H30" s="19" t="n">
        <x:v>0</x:v>
      </x:c>
      <x:c r="I30" s="19" t="n">
        <x:v>0</x:v>
      </x:c>
      <x:c r="J30" s="19" t="n">
        <x:v>1</x:v>
      </x:c>
      <x:c r="K30" s="19" t="n">
        <x:v>0</x:v>
      </x:c>
      <x:c r="L30" s="20" t="n">
        <x:v>0</x:v>
      </x:c>
      <x:c r="M30" s="20"/>
      <x:c r="N30" s="19" t="str">
        <x:v>PRESERVED</x:v>
      </x:c>
      <x:c r="O30" s="22" t="str"/>
      <x:c r="P30" s="22" t="str"/>
      <x:c r="Q30" s="22" t="str"/>
    </x:row>
    <x:row r="31">
      <x:c r="A31" s="19" t="str">
        <x:v>PROV-017</x:v>
      </x:c>
      <x:c r="B31" s="19" t="str">
        <x:v>综合体育馆的建筑面积、观众席位和赛事用途是什么？</x:v>
      </x:c>
      <x:c r="C31" s="19" t="str">
        <x:v>综合体育馆总建筑面积12547.85平米，总观众席位4502个，可满足国际比赛和现场电视转播的要求。为2001年第21届世界大学生运动会男子篮球比赛场馆，2008年北京奥运会男子篮球和轮椅篮球训练场馆。</x:v>
      </x:c>
      <x:c r="D31" s="19" t="str">
        <x:v>综合体育馆总建筑面积12547.85平米，总观众席位4502个，[1]可满足国际比赛和现场电视转播的要求。为2001年第21届世界大学生运动会男子篮球比赛场馆，2008年北京奥运会男子篮球和轮椅篮球训练场馆。[1]
参考资料：
[1] 综合体育馆 综合体育馆于2000年建成，总建筑面积 12547.85平米，总观众席位4502个，可满足国际比赛和现场电视转播的要求。为2001年第21届世界大学生运动会男子篮球比赛场馆，2008年... — https://www.tsinghua.edu.cn/info/1360/1409.htm</x:v>
      </x:c>
      <x:c r="E31" s="19" t="str">
        <x:v>NONCOMPLIANT</x:v>
      </x:c>
      <x:c r="F31" s="19" t="str">
        <x:v>NONCOMPLIANT</x:v>
      </x:c>
      <x:c r="G31" s="19" t="n">
        <x:v>3</x:v>
      </x:c>
      <x:c r="H31" s="19" t="n">
        <x:v>1</x:v>
      </x:c>
      <x:c r="I31" s="19" t="n">
        <x:v>1</x:v>
      </x:c>
      <x:c r="J31" s="19" t="n">
        <x:v>1</x:v>
      </x:c>
      <x:c r="K31" s="19" t="n">
        <x:v>2</x:v>
      </x:c>
      <x:c r="L31" s="20" t="n">
        <x:v>0.6666666666666666</x:v>
      </x:c>
      <x:c r="M31" s="20" t="n">
        <x:v>1</x:v>
      </x:c>
      <x:c r="N31" s="19" t="str">
        <x:v>PRESERVED</x:v>
      </x:c>
      <x:c r="O31" s="22" t="str"/>
      <x:c r="P31" s="22" t="str"/>
      <x:c r="Q31" s="22" t="str"/>
    </x:row>
    <x:row r="32">
      <x:c r="A32" s="19" t="str">
        <x:v>PROV-018</x:v>
      </x:c>
      <x:c r="B32" s="19" t="str">
        <x:v>清华大学特等奖学金采用什么评选办法？</x:v>
      </x:c>
      <x:c r="C32" s="19" t="str">
        <x:v>清华大学特等奖学金评选办法如下：
- 评选机构通过现场答辩形式组织复评，形成推荐名单，提请校务会议审议。
- 校务会议讨论决定特等奖学金表彰名单。
- 特等奖学金表彰名单在学校信息门户网站予以公示。</x:v>
      </x:c>
      <x:c r="D32" s="19" t="str">
        <x:v>清华大学特等奖学金评选办法如下：
- 评选机构通过现场答辩形式组织复评，形成推荐名单，提请校务会议审议。
- 校务会议讨论决定特等奖学金表彰名单。
- 特等奖学金表彰名单在学校信息门户网站予以公示。</x:v>
      </x:c>
      <x:c r="E32" s="19" t="str">
        <x:v>NONCOMPLIANT</x:v>
      </x:c>
      <x:c r="F32" s="19" t="str">
        <x:v>NONCOMPLIANT</x:v>
      </x:c>
      <x:c r="G32" s="19" t="n">
        <x:v>4</x:v>
      </x:c>
      <x:c r="H32" s="19" t="n">
        <x:v>0</x:v>
      </x:c>
      <x:c r="I32" s="19" t="n">
        <x:v>0</x:v>
      </x:c>
      <x:c r="J32" s="19" t="n">
        <x:v>3</x:v>
      </x:c>
      <x:c r="K32" s="19" t="n">
        <x:v>0</x:v>
      </x:c>
      <x:c r="L32" s="20" t="n">
        <x:v>0</x:v>
      </x:c>
      <x:c r="M32" s="20"/>
      <x:c r="N32" s="19" t="str">
        <x:v>PRESERVED</x:v>
      </x:c>
      <x:c r="O32" s="22" t="str"/>
      <x:c r="P32" s="22" t="str"/>
      <x:c r="Q32" s="22" t="str"/>
    </x:row>
    <x:row r="33">
      <x:c r="A33" s="19" t="str">
        <x:v>PROV-019</x:v>
      </x:c>
      <x:c r="B33" s="19" t="str">
        <x:v>国家助学贷款发放后，学生应遵守哪些贷后管理规定？</x:v>
      </x:c>
      <x:c r="C33" s="19" t="str">
        <x:v>根据当前资料，国家助学贷款发放后应遵守以下贷后管理规定：
1. 做好贷款学生信息建档工作。
2. 做好诚信教育工作。
3. 贷款学生在校期间有下列行为的，学校将通知经办银行停止发放助学贷款，并要求一次性偿还贷款本息：
   - 未按合同规定的用途使用贷款；
   - 违法乱纪行为受到学校纪律处分或有关部门刑事处罚；
   - 中途辍学、退学、转学、被学校开除或取消学籍；
   - 学习不刻苦</x:v>
      </x:c>
      <x:c r="D33" s="19" t="str">
        <x:v>根据当前资料，国家助学贷款发放后应遵守以下贷后管理规定：
1. 做好贷款学生信息建档工作。
2. 做好诚信教育工作。
3. 贷款学生在校期间有下列行为的，学校将通知经办银行停止发放助学贷款，并要求一次性偿还贷款本息：
   - 未按合同规定的用途使用贷款；
   - 违法乱纪行为受到学校纪律处分或有关部门刑事处罚；
   - 中途辍学、退学、转学、被学校开除或取消学籍；
   - 学习不刻苦</x:v>
      </x:c>
      <x:c r="E33" s="19" t="str">
        <x:v>NONCOMPLIANT</x:v>
      </x:c>
      <x:c r="F33" s="19" t="str">
        <x:v>NONCOMPLIANT</x:v>
      </x:c>
      <x:c r="G33" s="19" t="n">
        <x:v>8</x:v>
      </x:c>
      <x:c r="H33" s="19" t="n">
        <x:v>0</x:v>
      </x:c>
      <x:c r="I33" s="19" t="n">
        <x:v>0</x:v>
      </x:c>
      <x:c r="J33" s="19" t="n">
        <x:v>6</x:v>
      </x:c>
      <x:c r="K33" s="19" t="n">
        <x:v>0</x:v>
      </x:c>
      <x:c r="L33" s="20" t="n">
        <x:v>0</x:v>
      </x:c>
      <x:c r="M33" s="20"/>
      <x:c r="N33" s="19" t="str">
        <x:v>PRESERVED</x:v>
      </x:c>
      <x:c r="O33" s="22" t="str"/>
      <x:c r="P33" s="22" t="str"/>
      <x:c r="Q33" s="22" t="str"/>
    </x:row>
    <x:row r="34">
      <x:c r="A34" s="19" t="str">
        <x:v>PROV-020</x:v>
      </x:c>
      <x:c r="B34" s="19" t="str">
        <x:v>国际学生如何区分并查询不同的签证类型？</x:v>
      </x:c>
      <x:c r="C34" s="19" t="str">
        <x:v>国际学生可查询不同签证类型如下：X1签证颁发给长期学习，需在入境后30日内申请学习类居留许可；X2签证颁发给短期学习，有效期以签证注明为准。</x:v>
      </x:c>
      <x:c r="D34" s="19" t="str">
        <x:v>国际学生可查询不同签证类型如下：X1签证颁发给长期学习，需在入境后30日内申请学习类居留许可；[1]X2签证颁发给短期学习，有效期以签证注明为准。
参考资料：
[1] Visa Types — https://www.is.tsinghua.edu.cn/asdfasdf/vp/VT.htm</x:v>
      </x:c>
      <x:c r="E34" s="19" t="str">
        <x:v>NONCOMPLIANT</x:v>
      </x:c>
      <x:c r="F34" s="19" t="str">
        <x:v>NONCOMPLIANT</x:v>
      </x:c>
      <x:c r="G34" s="19" t="n">
        <x:v>3</x:v>
      </x:c>
      <x:c r="H34" s="19" t="n">
        <x:v>0</x:v>
      </x:c>
      <x:c r="I34" s="19" t="n">
        <x:v>1</x:v>
      </x:c>
      <x:c r="J34" s="19" t="n">
        <x:v>2</x:v>
      </x:c>
      <x:c r="K34" s="19" t="n">
        <x:v>1</x:v>
      </x:c>
      <x:c r="L34" s="20" t="n">
        <x:v>0.3333333333333333</x:v>
      </x:c>
      <x:c r="M34" s="20" t="n">
        <x:v>1</x:v>
      </x:c>
      <x:c r="N34" s="19" t="str">
        <x:v>PRESERVED</x:v>
      </x:c>
      <x:c r="O34" s="22" t="str"/>
      <x:c r="P34" s="22" t="str"/>
      <x:c r="Q34" s="22" t="str"/>
    </x:row>
    <x:row r="35">
      <x:c r="A35" s="19" t="str">
        <x:v>PROV-021</x:v>
      </x:c>
      <x:c r="B35" s="19" t="str">
        <x:v>国际学生选择校外住宿时应查看什么住宿指南？</x:v>
      </x:c>
      <x:c r="C35" s="19" t="str">
        <x:v>根据当前资料无法确认。</x:v>
      </x:c>
      <x:c r="D35" s="19" t="str">
        <x:v>根据当前资料无法确认。</x:v>
      </x:c>
      <x:c r="E35" s="19" t="str">
        <x:v>COMPLIANT</x:v>
      </x:c>
      <x:c r="F35" s="19" t="str">
        <x:v>COMPLIANT</x:v>
      </x:c>
      <x:c r="G35" s="19" t="n">
        <x:v>1</x:v>
      </x:c>
      <x:c r="H35" s="19" t="n">
        <x:v>0</x:v>
      </x:c>
      <x:c r="I35" s="19" t="n">
        <x:v>0</x:v>
      </x:c>
      <x:c r="J35" s="19" t="n">
        <x:v>0</x:v>
      </x:c>
      <x:c r="K35" s="19" t="n">
        <x:v>0</x:v>
      </x:c>
      <x:c r="L35" s="20" t="n">
        <x:v>1</x:v>
      </x:c>
      <x:c r="M35" s="20"/>
      <x:c r="N35" s="19" t="str">
        <x:v>PRESERVED</x:v>
      </x:c>
      <x:c r="O35" s="22" t="str"/>
      <x:c r="P35" s="22" t="str"/>
      <x:c r="Q35" s="22" t="str"/>
    </x:row>
    <x:row r="36">
      <x:c r="A36" s="19" t="str">
        <x:v>PROV-022</x:v>
      </x:c>
      <x:c r="B36" s="19" t="str">
        <x:v>学生职业发展指导中心面向学生提供哪些就业服务？</x:v>
      </x:c>
      <x:c r="C36" s="19" t="str">
        <x:v>学生职业发展指导中心提供生涯咨询、专项辅导、朋辈辅导、求职技巧实训等就业服务。</x:v>
      </x:c>
      <x:c r="D36" s="19" t="str">
        <x:v>学生职业发展指导中心提供生涯咨询、专项辅导、朋辈辅导、求职技巧实训等就业服务。[1]
参考资料：
[1] 个体咨询（校内导师） — https://career.tsinghua.edu.cn/info/1008/2435.htm</x:v>
      </x:c>
      <x:c r="E36" s="19" t="str">
        <x:v>NONCOMPLIANT</x:v>
      </x:c>
      <x:c r="F36" s="19" t="str">
        <x:v>COMPLIANT</x:v>
      </x:c>
      <x:c r="G36" s="19" t="n">
        <x:v>1</x:v>
      </x:c>
      <x:c r="H36" s="19" t="n">
        <x:v>0</x:v>
      </x:c>
      <x:c r="I36" s="19" t="n">
        <x:v>1</x:v>
      </x:c>
      <x:c r="J36" s="19" t="n">
        <x:v>0</x:v>
      </x:c>
      <x:c r="K36" s="19" t="n">
        <x:v>1</x:v>
      </x:c>
      <x:c r="L36" s="20" t="n">
        <x:v>1</x:v>
      </x:c>
      <x:c r="M36" s="20" t="n">
        <x:v>1</x:v>
      </x:c>
      <x:c r="N36" s="19" t="str">
        <x:v>PRESERVED</x:v>
      </x:c>
      <x:c r="O36" s="22" t="str"/>
      <x:c r="P36" s="22" t="str"/>
      <x:c r="Q36" s="22" t="str"/>
    </x:row>
    <x:row r="37">
      <x:c r="A37" s="19" t="str">
        <x:v>PROV-023</x:v>
      </x:c>
      <x:c r="B37" s="19" t="str">
        <x:v>学生想进行一对一生涯咨询、简历修改或模拟面试，可以找什么服务？</x:v>
      </x:c>
      <x:c r="C37" s="19" t="str">
        <x:v>可以找以下服务：
- **生涯咨询**：李锋亮、马昱春、王大亮
- **简历修改**：朱李婧、陈旭东、董亮、赵梦圆
- **模拟面试**：张杨、关麟凤、俞婷君</x:v>
      </x:c>
      <x:c r="D37" s="19" t="str">
        <x:v>可以找以下服务：
- **生涯咨询**：李锋亮、马昱春、王大亮
- **简历修改**：朱李婧、陈旭东、董亮、赵梦圆
- **模拟面试**：张杨、关麟凤、俞婷君</x:v>
      </x:c>
      <x:c r="E37" s="19" t="str">
        <x:v>NONCOMPLIANT</x:v>
      </x:c>
      <x:c r="F37" s="19" t="str">
        <x:v>NONCOMPLIANT</x:v>
      </x:c>
      <x:c r="G37" s="19" t="n">
        <x:v>4</x:v>
      </x:c>
      <x:c r="H37" s="19" t="n">
        <x:v>0</x:v>
      </x:c>
      <x:c r="I37" s="19" t="n">
        <x:v>0</x:v>
      </x:c>
      <x:c r="J37" s="19" t="n">
        <x:v>3</x:v>
      </x:c>
      <x:c r="K37" s="19" t="n">
        <x:v>0</x:v>
      </x:c>
      <x:c r="L37" s="20" t="n">
        <x:v>0</x:v>
      </x:c>
      <x:c r="M37" s="20"/>
      <x:c r="N37" s="19" t="str">
        <x:v>PRESERVED</x:v>
      </x:c>
      <x:c r="O37" s="22" t="str"/>
      <x:c r="P37" s="22" t="str"/>
      <x:c r="Q37" s="22" t="str"/>
    </x:row>
    <x:row r="38">
      <x:c r="A38" s="19" t="str">
        <x:v>PROV-024</x:v>
      </x:c>
      <x:c r="B38" s="19" t="str">
        <x:v>清华科研仪器共享平台能否查询开放设备并预约测试？</x:v>
      </x:c>
      <x:c r="C38" s="19" t="str">
        <x:v>可以查询开放设备并预约测试，详情请访问清华仪器共享服务平台。</x:v>
      </x:c>
      <x:c r="D38" s="19" t="str">
        <x:v>可以查询开放设备并预约测试，详情请访问清华仪器共享服务平台。</x:v>
      </x:c>
      <x:c r="E38" s="19" t="str">
        <x:v>NONCOMPLIANT</x:v>
      </x:c>
      <x:c r="F38" s="19" t="str">
        <x:v>NONCOMPLIANT</x:v>
      </x:c>
      <x:c r="G38" s="19" t="n">
        <x:v>1</x:v>
      </x:c>
      <x:c r="H38" s="19" t="n">
        <x:v>0</x:v>
      </x:c>
      <x:c r="I38" s="19" t="n">
        <x:v>0</x:v>
      </x:c>
      <x:c r="J38" s="19" t="n">
        <x:v>1</x:v>
      </x:c>
      <x:c r="K38" s="19" t="n">
        <x:v>0</x:v>
      </x:c>
      <x:c r="L38" s="20" t="n">
        <x:v>0</x:v>
      </x:c>
      <x:c r="M38" s="20"/>
      <x:c r="N38" s="19" t="str">
        <x:v>PRESERVED</x:v>
      </x:c>
      <x:c r="O38" s="22" t="str"/>
      <x:c r="P38" s="22" t="str"/>
      <x:c r="Q38" s="22" t="str"/>
    </x:row>
    <x:row r="39">
      <x:c r="A39" s="19" t="str">
        <x:v>PROV-025</x:v>
      </x:c>
      <x:c r="B39" s="19" t="str">
        <x:v>清华通讯作者在IEEE开放获取期刊发表论文有何APC优惠？</x:v>
      </x:c>
      <x:c r="C39" s="19" t="str">
        <x:v>通讯作者为我校师生在IEEE金色OA期刊或混合OA期刊发表OA论文时，可获得9折费用折扣。优惠范围包括Full Open Access与Hybrid Open Access期刊。优惠时间截至2026年12月31日。</x:v>
      </x:c>
      <x:c r="D39" s="19" t="str">
        <x:v>通讯作者为我校师生在IEEE金色OA期刊或混合OA期刊发表OA论文时，可获得9折费用折扣。优惠范围包括Full Open Access与Hybrid Open Access期刊。优惠时间截至2026年12月31日。</x:v>
      </x:c>
      <x:c r="E39" s="19" t="str">
        <x:v>NONCOMPLIANT</x:v>
      </x:c>
      <x:c r="F39" s="19" t="str">
        <x:v>NONCOMPLIANT</x:v>
      </x:c>
      <x:c r="G39" s="19" t="n">
        <x:v>4</x:v>
      </x:c>
      <x:c r="H39" s="19" t="n">
        <x:v>0</x:v>
      </x:c>
      <x:c r="I39" s="19" t="n">
        <x:v>0</x:v>
      </x:c>
      <x:c r="J39" s="19" t="n">
        <x:v>4</x:v>
      </x:c>
      <x:c r="K39" s="19" t="n">
        <x:v>0</x:v>
      </x:c>
      <x:c r="L39" s="20" t="n">
        <x:v>0</x:v>
      </x:c>
      <x:c r="M39" s="20"/>
      <x:c r="N39" s="19" t="str">
        <x:v>PRESERVED</x:v>
      </x:c>
      <x:c r="O39" s="22" t="str"/>
      <x:c r="P39" s="22" t="str"/>
      <x:c r="Q39" s="22" t="str"/>
    </x:row>
    <x:row r="40">
      <x:c r="A40" s="19" t="str">
        <x:v>PROV-026</x:v>
      </x:c>
      <x:c r="B40" s="19" t="str">
        <x:v>学校的信息化教室、录播系统和教学技术支持由什么服务负责？</x:v>
      </x:c>
      <x:c r="C40" s="19" t="str">
        <x:v>信息化教学环境服务负责学校信息化教室、录播系统和教学技术支持。</x:v>
      </x:c>
      <x:c r="D40" s="19" t="str">
        <x:v>信息化教学环境服务负责学校信息化教室、录播系统和教学技术支持。[1]
参考资料：
[1] 教学环境服务 — https://www.itc.tsinghua.edu.cn/ggfwsd/dfasf.htm</x:v>
      </x:c>
      <x:c r="E40" s="19" t="str">
        <x:v>NONCOMPLIANT</x:v>
      </x:c>
      <x:c r="F40" s="19" t="str">
        <x:v>COMPLIANT</x:v>
      </x:c>
      <x:c r="G40" s="19" t="n">
        <x:v>1</x:v>
      </x:c>
      <x:c r="H40" s="19" t="n">
        <x:v>1</x:v>
      </x:c>
      <x:c r="I40" s="19" t="n">
        <x:v>0</x:v>
      </x:c>
      <x:c r="J40" s="19" t="n">
        <x:v>0</x:v>
      </x:c>
      <x:c r="K40" s="19" t="n">
        <x:v>1</x:v>
      </x:c>
      <x:c r="L40" s="20" t="n">
        <x:v>1</x:v>
      </x:c>
      <x:c r="M40" s="20" t="n">
        <x:v>1</x:v>
      </x:c>
      <x:c r="N40" s="19" t="str">
        <x:v>PRESERVED</x:v>
      </x:c>
      <x:c r="O40" s="22" t="str"/>
      <x:c r="P40" s="22" t="str"/>
      <x:c r="Q40" s="22" t="str"/>
    </x:row>
    <x:row r="41">
      <x:c r="A41" s="19" t="str">
        <x:v>PROV-027</x:v>
      </x:c>
      <x:c r="B41" s="19" t="str">
        <x:v>清华专业学位人才培养项目采用什么建设定位？</x:v>
      </x:c>
      <x:c r="C41" s="19" t="str">
        <x:v>清华专业学位人才培养项目采用“高端定位、清华特色、中国视角”的建设标准。</x:v>
      </x:c>
      <x:c r="D41" s="19" t="str">
        <x:v>清华专业学位人才培养项目采用“高端定位、清华特色、中国视角”的建设标准。[1]
参考资料：
[1] 专业学位项目 — https://www.tsinghua.edu.cn/yjsy/zyxw/zyxwxm.htm</x:v>
      </x:c>
      <x:c r="E41" s="19" t="str">
        <x:v>NONCOMPLIANT</x:v>
      </x:c>
      <x:c r="F41" s="19" t="str">
        <x:v>COMPLIANT</x:v>
      </x:c>
      <x:c r="G41" s="19" t="n">
        <x:v>1</x:v>
      </x:c>
      <x:c r="H41" s="19" t="n">
        <x:v>0</x:v>
      </x:c>
      <x:c r="I41" s="19" t="n">
        <x:v>1</x:v>
      </x:c>
      <x:c r="J41" s="19" t="n">
        <x:v>0</x:v>
      </x:c>
      <x:c r="K41" s="19" t="n">
        <x:v>1</x:v>
      </x:c>
      <x:c r="L41" s="20" t="n">
        <x:v>1</x:v>
      </x:c>
      <x:c r="M41" s="20" t="n">
        <x:v>1</x:v>
      </x:c>
      <x:c r="N41" s="19" t="str">
        <x:v>PRESERVED</x:v>
      </x:c>
      <x:c r="O41" s="22" t="str"/>
      <x:c r="P41" s="22" t="str"/>
      <x:c r="Q41" s="22" t="str"/>
    </x:row>
    <x:row r="42">
      <x:c r="A42" s="19" t="str">
        <x:v>PROV-028</x:v>
      </x:c>
      <x:c r="B42" s="19" t="str">
        <x:v>如何查询清华各院系的单位号、简称和英文名称？</x:v>
      </x:c>
      <x:c r="C42" s="19" t="str">
        <x:v>单位号：000 建筑学院 jzxy；003 土木系 tmx；004 水利系 slx；005 环境学院 hjxy；011 机械学院 jxxy；012 机械系 jxx；013 精仪系 jyx；014 能动系 ndx；015 车辆学院 clxy；016 工业工程系 gygcx；021 信息学院 xxxy。简称：建筑学院、土木工程系</x:v>
      </x:c>
      <x:c r="D42" s="19" t="str">
        <x:v>单位号：000 建筑学院 jzxy；003 土木系 tmx；004 水利系 slx；005 环境学院 hjxy；011 机械学院 jxxy；012 机械系 jxx；013 精仪系 jyx；014 能动系 ndx；015 车辆学院 clxy；016 工业工程系 gygcx；021 信息学院 xxxy。简称：建筑学院、土木工程系</x:v>
      </x:c>
      <x:c r="E42" s="19" t="str">
        <x:v>NONCOMPLIANT</x:v>
      </x:c>
      <x:c r="F42" s="19" t="str">
        <x:v>NONCOMPLIANT</x:v>
      </x:c>
      <x:c r="G42" s="19" t="n">
        <x:v>12</x:v>
      </x:c>
      <x:c r="H42" s="19" t="n">
        <x:v>0</x:v>
      </x:c>
      <x:c r="I42" s="19" t="n">
        <x:v>0</x:v>
      </x:c>
      <x:c r="J42" s="19" t="n">
        <x:v>12</x:v>
      </x:c>
      <x:c r="K42" s="19" t="n">
        <x:v>0</x:v>
      </x:c>
      <x:c r="L42" s="20" t="n">
        <x:v>0</x:v>
      </x:c>
      <x:c r="M42" s="20"/>
      <x:c r="N42" s="19" t="str">
        <x:v>PRESERVED</x:v>
      </x:c>
      <x:c r="O42" s="22" t="str"/>
      <x:c r="P42" s="22" t="str"/>
      <x:c r="Q42" s="22" t="str"/>
    </x:row>
  </x:sheetData>
  <x:mergeCells>
    <x:mergeCell ref="A1:Q1"/>
    <x:mergeCell ref="A2:Q2"/>
  </x:mergeCells>
  <x:conditionalFormatting sqref="F5:F42">
    <x:cfRule type="containsText" dxfId="0" priority="1" operator="containsText" text="COMPLIANT"/>
  </x:conditionalFormatting>
  <x:conditionalFormatting sqref="N5:N42">
    <x:cfRule type="containsText" dxfId="1" priority="2" operator="containsText" text="FAILED"/>
  </x:conditionalFormatting>
  <x:dataValidations count="2">
    <x:dataValidation type="list" sqref="O5:O42">
      <x:formula1>"correct,partial,incorrect,uncertain"</x:formula1>
    </x:dataValidation>
    <x:dataValidation type="list" sqref="P5:P42">
      <x:formula1>"supported,partial,unsupported,conflicting,uncertain"</x:formula1>
    </x:dataValidation>
  </x:dataValidations>
  <x:pageMargins left="0.7" right="0.7" top="0.75" bottom="0.75" header="0.3" footer="0.3"/>
  <x:tableParts count="1">
    <x:tablePart xmlns:r="http://schemas.openxmlformats.org/officeDocument/2006/relationships" r:id="Rd83a0c36b7bc480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ht="30" customHeight="1">
      <x:c r="A1" s="23" t="str">
        <x:v>Threshold Sensitivity — factual claims only</x:v>
      </x:c>
      <x:c r="B1" s="23"/>
      <x:c r="C1" s="23"/>
      <x:c r="D1" s="23"/>
      <x:c r="E1" s="23"/>
    </x:row>
    <x:row r="3">
      <x:c r="A3" s="7" t="str">
        <x:v>Threshold</x:v>
      </x:c>
      <x:c r="B3" s="7" t="str">
        <x:v>Supported proxy</x:v>
      </x:c>
      <x:c r="C3" s="7" t="str">
        <x:v>Unsupported</x:v>
      </x:c>
      <x:c r="D3" s="7" t="str">
        <x:v>Eligible factual claims</x:v>
      </x:c>
      <x:c r="E3" s="7" t="str">
        <x:v>Coverage proxy</x:v>
      </x:c>
    </x:row>
    <x:row r="4">
      <x:c r="A4" s="24" t="n">
        <x:v>0.6</x:v>
      </x:c>
      <x:c r="B4" t="n">
        <x:v>23</x:v>
      </x:c>
      <x:c r="C4" t="n">
        <x:v>81</x:v>
      </x:c>
      <x:c r="D4" t="n">
        <x:v>104</x:v>
      </x:c>
      <x:c r="E4" s="10" t="n">
        <x:v>0.22115384615384615</x:v>
      </x:c>
    </x:row>
    <x:row r="5">
      <x:c r="A5" s="24" t="n">
        <x:v>0.65</x:v>
      </x:c>
      <x:c r="B5" t="n">
        <x:v>17</x:v>
      </x:c>
      <x:c r="C5" t="n">
        <x:v>87</x:v>
      </x:c>
      <x:c r="D5" t="n">
        <x:v>104</x:v>
      </x:c>
      <x:c r="E5" s="10" t="n">
        <x:v>0.16346153846153846</x:v>
      </x:c>
    </x:row>
    <x:row r="6">
      <x:c r="A6" s="24" t="n">
        <x:v>0.7</x:v>
      </x:c>
      <x:c r="B6" t="n">
        <x:v>11</x:v>
      </x:c>
      <x:c r="C6" t="n">
        <x:v>93</x:v>
      </x:c>
      <x:c r="D6" t="n">
        <x:v>104</x:v>
      </x:c>
      <x:c r="E6" s="10" t="n">
        <x:v>0.10576923076923077</x:v>
      </x:c>
    </x:row>
    <x:row r="7">
      <x:c r="A7" s="24" t="n">
        <x:v>0.75</x:v>
      </x:c>
      <x:c r="B7" t="n">
        <x:v>5</x:v>
      </x:c>
      <x:c r="C7" t="n">
        <x:v>99</x:v>
      </x:c>
      <x:c r="D7" t="n">
        <x:v>104</x:v>
      </x:c>
      <x:c r="E7" s="10" t="n">
        <x:v>0.04807692307692308</x:v>
      </x:c>
    </x:row>
    <x:row r="8">
      <x:c r="A8" s="24" t="n">
        <x:v>0.8</x:v>
      </x:c>
      <x:c r="B8" t="n">
        <x:v>0</x:v>
      </x:c>
      <x:c r="C8" t="n">
        <x:v>104</x:v>
      </x:c>
      <x:c r="D8" t="n">
        <x:v>104</x:v>
      </x:c>
      <x:c r="E8" s="10" t="n">
        <x:v>0</x:v>
      </x:c>
    </x:row>
    <x:row r="10">
      <x:c r="A10" s="5" t="str">
        <x:v>Thresholds were predeclared. Sensitivity results are descriptive and were not used to tune per-question decisions.</x:v>
      </x:c>
      <x:c r="B10" s="5"/>
      <x:c r="C10" s="5"/>
      <x:c r="D10" s="5"/>
      <x:c r="E10" s="5"/>
    </x:row>
    <x:row r="11">
      <x:c r="A11" s="5"/>
      <x:c r="B11" s="5"/>
      <x:c r="C11" s="5"/>
      <x:c r="D11" s="5"/>
      <x:c r="E11" s="5"/>
    </x:row>
  </x:sheetData>
  <x:mergeCells>
    <x:mergeCell ref="A1:E1"/>
    <x:mergeCell ref="A10:E11"/>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28" hidden="0" customWidth="1"/>
  </x:cols>
  <x:sheetData>
    <x:row r="1">
      <x:c r="A1" s="7" t="str">
        <x:v>human_citation_correctness</x:v>
      </x:c>
      <x:c r="B1" s="7" t="str">
        <x:v>human_claim_support</x:v>
      </x:c>
    </x:row>
    <x:row r="2">
      <x:c r="A2" t="str">
        <x:v>correct</x:v>
      </x:c>
      <x:c r="B2" t="str">
        <x:v>supported</x:v>
      </x:c>
    </x:row>
    <x:row r="3">
      <x:c r="A3" t="str">
        <x:v>partial</x:v>
      </x:c>
      <x:c r="B3" t="str">
        <x:v>partial</x:v>
      </x:c>
    </x:row>
    <x:row r="4">
      <x:c r="A4" t="str">
        <x:v>incorrect</x:v>
      </x:c>
      <x:c r="B4" t="str">
        <x:v>unsupported</x:v>
      </x:c>
    </x:row>
    <x:row r="5">
      <x:c r="A5" t="str">
        <x:v>uncertain</x:v>
      </x:c>
      <x:c r="B5" t="str">
        <x:v>conflicting</x:v>
      </x:c>
    </x:row>
    <x:row r="6">
      <x:c r="B6" t="str">
        <x:v>uncertain</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s>
  <x:sheetData>
    <x:row r="1">
      <x:c r="A1" s="7" t="str">
        <x:v>metric</x:v>
      </x:c>
      <x:c r="B1" s="7" t="str">
        <x:v>value</x:v>
      </x:c>
    </x:row>
    <x:row r="2">
      <x:c r="A2" t="str">
        <x:v>Questions</x:v>
      </x:c>
      <x:c r="B2" t="n">
        <x:v>38</x:v>
      </x:c>
    </x:row>
    <x:row r="3">
      <x:c r="A3" t="str">
        <x:v>Claims</x:v>
      </x:c>
      <x:c r="B3" t="n">
        <x:v>120</x:v>
      </x:c>
    </x:row>
    <x:row r="4">
      <x:c r="A4" t="str">
        <x:v>Factual claims</x:v>
      </x:c>
      <x:c r="B4" t="n">
        <x:v>104</x:v>
      </x:c>
    </x:row>
    <x:row r="5">
      <x:c r="A5" t="str">
        <x:v>Claim citation coverage</x:v>
      </x:c>
      <x:c r="B5" s="10" t="n">
        <x:v>0.11538461538461539</x:v>
      </x:c>
    </x:row>
    <x:row r="6">
      <x:c r="A6" t="str">
        <x:v>Citation precision proxy</x:v>
      </x:c>
      <x:c r="B6" s="10" t="n">
        <x:v>1</x:v>
      </x:c>
    </x:row>
    <x:row r="7">
      <x:c r="A7" t="str">
        <x:v>A baseline compliance</x:v>
      </x:c>
      <x:c r="B7" s="10" t="n">
        <x:v>0.05263157894736842</x:v>
      </x:c>
    </x:row>
    <x:row r="8">
      <x:c r="A8" t="str">
        <x:v>Pipeline compliance</x:v>
      </x:c>
      <x:c r="B8" s="10" t="n">
        <x:v>0.21052631578947367</x:v>
      </x:c>
    </x:row>
    <x:row r="9">
      <x:c r="A9" t="str">
        <x:v>Answer preservation</x:v>
      </x:c>
      <x:c r="B9" s="10" t="n">
        <x:v>1</x:v>
      </x:c>
    </x:row>
    <x:row r="10">
      <x:c r="A10" t="str">
        <x:v>Human-validated precision</x:v>
      </x:c>
      <x:c r="B10" t="str"/>
    </x:row>
  </x:sheetData>
  <x:pageMargins left="0.7" right="0.7" top="0.75" bottom="0.75" header="0.3" footer="0.3"/>
</x:worksheet>
</file>