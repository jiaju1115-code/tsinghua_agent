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2eff1b465243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c663cb41a8e489c"/>
    <x:sheet xmlns:r="http://schemas.openxmlformats.org/officeDocument/2006/relationships" name="A-B Comparison" sheetId="2" r:id="R907e6981d4e04019"/>
    <x:sheet xmlns:r="http://schemas.openxmlformats.org/officeDocument/2006/relationships" name="Citation Taxonomy" sheetId="3" r:id="R13659ad3e57f4cb5"/>
    <x:sheet xmlns:r="http://schemas.openxmlformats.org/officeDocument/2006/relationships" name="Human Lists" sheetId="4" r:id="Rafb5febcf94048aa"/>
    <x:sheet xmlns:r="http://schemas.openxmlformats.org/officeDocument/2006/relationships" name="Metric Source" sheetId="5" r:id="R02a0afdd40c04c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0.000"/>
  </x:numFmts>
  <x:fonts count="10">
    <x:font>
      <x:sz val="11"/>
      <x:name val="Carlito"/>
    </x:font>
    <x:font>
      <x:b/>
      <x:sz val="18"/>
      <x:color rgb="FFFFFFFF"/>
      <x:name val="Carlito"/>
    </x:font>
    <x:font>
      <x:i/>
      <x:sz val="11"/>
      <x:color rgb="FF6B4F00"/>
      <x:name val="Carlito"/>
    </x:font>
    <x:font>
      <x:b/>
      <x:sz val="11"/>
      <x:color rgb="FFFFFFFF"/>
      <x:name val="Carlito"/>
    </x:font>
    <x:font>
      <x:b/>
      <x:sz val="11"/>
      <x:color rgb="FF0F4C5C"/>
      <x:name val="Carlito"/>
    </x:font>
    <x:font>
      <x:b/>
      <x:sz val="17"/>
      <x:color rgb="FFFFFFFF"/>
      <x:name val="Carlito"/>
    </x:font>
    <x:font>
      <x:i/>
      <x:sz val="11"/>
      <x:color rgb="FF334155"/>
      <x:name val="Carlito"/>
    </x:font>
    <x:font>
      <x:sz val="10"/>
      <x:name val="Microsoft YaHei"/>
    </x:font>
    <x:font>
      <x:sz val="10"/>
      <x:color rgb="FF6B4F00"/>
      <x:name val="Microsoft YaHei"/>
    </x:font>
    <x:font>
      <x:b/>
      <x:sz val="16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FF4CC"/>
      </x:patternFill>
    </x:fill>
    <x:fill>
      <x:patternFill patternType="solid">
        <x:fgColor rgb="FF2B6F77"/>
      </x:patternFill>
    </x:fill>
    <x:fill>
      <x:patternFill patternType="solid">
        <x:fgColor rgb="FFDCEFF3"/>
      </x:patternFill>
    </x:fill>
    <x:fill>
      <x:patternFill patternType="solid">
        <x:fgColor rgb="FFF7FBFC"/>
      </x:patternFill>
    </x:fill>
    <x:fill>
      <x:patternFill patternType="solid">
        <x:fgColor rgb="FFEAF0F6"/>
      </x:patternFill>
    </x:fill>
  </x:fills>
  <x:borders count="1">
    <x:border/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6" borderId="0" xfId="0" applyNumberFormat="1" applyFont="1" applyFill="1" applyBorder="1"/>
    <x:xf numFmtId="200" fontId="0" fillId="6" borderId="0" xfId="0" applyNumberFormat="1" applyFont="1" applyFill="1" applyBorder="1"/>
    <x:xf numFmtId="201" fontId="0" fillId="6" borderId="0" xfId="0" applyNumberFormat="1" applyFont="1" applyFill="1" applyBorder="1"/>
    <x:xf numFmtId="0" fontId="5" fillId="2" borderId="0" xfId="0" applyNumberFormat="1" applyFont="1" applyFill="1" applyBorder="1"/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top" wrapText="1"/>
    </x:xf>
    <x:xf numFmtId="200" fontId="7" fillId="0" borderId="0" xfId="0" applyNumberFormat="1" applyFont="1" applyFill="1" applyBorder="1" applyAlignment="1">
      <x:alignment vertical="top" wrapText="1"/>
    </x:xf>
    <x:xf numFmtId="201" fontId="7" fillId="0" borderId="0" xfId="0" applyNumberFormat="1" applyFont="1" applyFill="1" applyBorder="1" applyAlignment="1">
      <x:alignment vertical="top" wrapText="1"/>
    </x:xf>
    <x:xf numFmtId="0" fontId="7" fillId="3" borderId="0" xfId="0" applyNumberFormat="1" applyFont="1" applyFill="1" applyBorder="1" applyAlignment="1">
      <x:alignment vertical="top" wrapText="1"/>
    </x:xf>
    <x:xf numFmtId="0" fontId="8" fillId="3" borderId="0" xfId="0" applyNumberFormat="1" applyFont="1" applyFill="1" applyBorder="1" applyAlignment="1">
      <x:alignment vertical="top" wrapText="1"/>
    </x:xf>
    <x:xf numFmtId="0" fontId="9" fillId="2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</x:cellXfs>
  <x:cellStyles count="1">
    <x:cellStyle name="Normal" xfId="0"/>
  </x:cellStyles>
  <x:dxfs count="2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9eae79ca0f4b73" /><Relationship Type="http://schemas.openxmlformats.org/officeDocument/2006/relationships/theme" Target="/xl/theme/theme1.xml" Id="R113c503ab8724355" /><Relationship Type="http://schemas.openxmlformats.org/officeDocument/2006/relationships/sharedStrings" Target="/xl/sharedStrings.xml" Id="Rd9e942ba685b41ab" /><Relationship Type="http://schemas.openxmlformats.org/officeDocument/2006/relationships/worksheet" Target="/xl/worksheets/sheet1.xml" Id="Rec663cb41a8e489c" /><Relationship Type="http://schemas.openxmlformats.org/officeDocument/2006/relationships/worksheet" Target="/xl/worksheets/sheet2.xml" Id="R907e6981d4e04019" /><Relationship Type="http://schemas.openxmlformats.org/officeDocument/2006/relationships/worksheet" Target="/xl/worksheets/sheet3.xml" Id="R13659ad3e57f4cb5" /><Relationship Type="http://schemas.openxmlformats.org/officeDocument/2006/relationships/worksheet" Target="/xl/worksheets/sheet4.xml" Id="Rafb5febcf94048aa" /><Relationship Type="http://schemas.openxmlformats.org/officeDocument/2006/relationships/worksheet" Target="/xl/worksheets/sheet5.xml" Id="R02a0afdd40c04c50" /></Relationships>
</file>

<file path=xl/tables/table1.xml><?xml version="1.0" encoding="utf-8"?>
<x:table xmlns:x="http://schemas.openxmlformats.org/spreadsheetml/2006/main" id="1" name="PromptABTable" displayName="PromptABTable" ref="A4:AO42" headerRowCount="1" totalsRowCount="0" totalsRowShown="0">
  <x:tableColumns count="41">
    <x:tableColumn id="1" name="question_id"/>
    <x:tableColumn id="2" name="question"/>
    <x:tableColumn id="3" name="eval_status"/>
    <x:tableColumn id="4" name="category"/>
    <x:tableColumn id="5" name="retrieved_chunk_ids"/>
    <x:tableColumn id="6" name="retrieved_document_ids"/>
    <x:tableColumn id="7" name="A answer"/>
    <x:tableColumn id="8" name="B answer"/>
    <x:tableColumn id="9" name="A correctness"/>
    <x:tableColumn id="10" name="B correctness"/>
    <x:tableColumn id="11" name="Δ correctness"/>
    <x:tableColumn id="12" name="A faithfulness"/>
    <x:tableColumn id="13" name="B faithfulness"/>
    <x:tableColumn id="14" name="Δ faithfulness"/>
    <x:tableColumn id="15" name="A unsupported claims"/>
    <x:tableColumn id="16" name="A total claims"/>
    <x:tableColumn id="17" name="A unsupported rate"/>
    <x:tableColumn id="18" name="B unsupported claims"/>
    <x:tableColumn id="19" name="B total claims"/>
    <x:tableColumn id="20" name="B unsupported rate"/>
    <x:tableColumn id="21" name="A citation compliant"/>
    <x:tableColumn id="22" name="B citation compliant"/>
    <x:tableColumn id="23" name="Δ citation compliance"/>
    <x:tableColumn id="24" name="A citation errors"/>
    <x:tableColumn id="25" name="B citation errors"/>
    <x:tableColumn id="26" name="A refusal appropriate"/>
    <x:tableColumn id="27" name="B refusal appropriate"/>
    <x:tableColumn id="28" name="A labels"/>
    <x:tableColumn id="29" name="B labels"/>
    <x:tableColumn id="30" name="overall change"/>
    <x:tableColumn id="31" name="A composite"/>
    <x:tableColumn id="32" name="B composite"/>
    <x:tableColumn id="33" name="A latency s"/>
    <x:tableColumn id="34" name="B latency s"/>
    <x:tableColumn id="35" name="human_preferred_group"/>
    <x:tableColumn id="36" name="human_correctness_a"/>
    <x:tableColumn id="37" name="human_correctness_b"/>
    <x:tableColumn id="38" name="human_faithfulness_a"/>
    <x:tableColumn id="39" name="human_faithfulness_b"/>
    <x:tableColumn id="40" name="human_citation_assessment"/>
    <x:tableColumn id="41" name="human_comme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0130f356925447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6" max="6" width="26" hidden="0" customWidth="1"/>
    <x:col min="7" max="7" width="26" hidden="0" customWidth="1"/>
    <x:col min="8" max="8" width="26" hidden="0" customWidth="1"/>
  </x:cols>
  <x:sheetData>
    <x:row r="1" ht="34" customHeight="1">
      <x:c r="A1" s="2" t="str">
        <x:v>Grounded Generation Prompt A/B V1</x:v>
      </x:c>
      <x:c r="B1" s="2"/>
      <x:c r="C1" s="2"/>
      <x:c r="D1" s="2"/>
      <x:c r="E1" s="2"/>
      <x:c r="F1" s="2"/>
      <x:c r="G1" s="2"/>
      <x:c r="H1" s="2"/>
    </x:row>
    <x:row r="2" ht="28" customHeight="1">
      <x:c r="A2" s="5" t="str">
        <x:v>PROVISIONAL_AUTO_EVAL — identical frozen retrieval/model; only answer-generation prompt differs</x:v>
      </x:c>
      <x:c r="B2" s="5"/>
      <x:c r="C2" s="5"/>
      <x:c r="D2" s="5"/>
      <x:c r="E2" s="5"/>
      <x:c r="F2" s="5"/>
      <x:c r="G2" s="5"/>
      <x:c r="H2" s="5"/>
    </x:row>
    <x:row r="4">
      <x:c r="A4" s="8" t="str">
        <x:v>Metric</x:v>
      </x:c>
      <x:c r="B4" s="8" t="str">
        <x:v>A baseline</x:v>
      </x:c>
      <x:c r="C4" s="8" t="str">
        <x:v>B strict</x:v>
      </x:c>
      <x:c r="D4" s="8" t="str">
        <x:v>Δ B−A</x:v>
      </x:c>
      <x:c r="F4" s="7" t="str">
        <x:v>Per-question change</x:v>
      </x:c>
      <x:c r="G4" s="7" t="str">
        <x:v>Count</x:v>
      </x:c>
      <x:c r="H4" s="7" t="str">
        <x:v>Definition</x:v>
      </x:c>
    </x:row>
    <x:row r="5">
      <x:c r="A5" s="10" t="str">
        <x:v>Questions</x:v>
      </x:c>
      <x:c r="B5" s="11" t="n">
        <x:f>'Metric Source'!B2</x:f>
        <x:v>38</x:v>
      </x:c>
      <x:c r="C5" s="11" t="n">
        <x:f>'Metric Source'!C2</x:f>
        <x:v>38</x:v>
      </x:c>
      <x:c r="D5" s="11" t="n">
        <x:f>C5-B5</x:f>
        <x:v>0</x:v>
      </x:c>
      <x:c r="F5" t="str">
        <x:v>improved</x:v>
      </x:c>
      <x:c r="G5" t="n">
        <x:f>'Metric Source'!F2</x:f>
        <x:v>0</x:v>
      </x:c>
      <x:c r="H5" t="str">
        <x:v>strict non-inferiority + citation gain</x:v>
      </x:c>
    </x:row>
    <x:row r="6">
      <x:c r="A6" s="10" t="str">
        <x:v>Correctness normalized</x:v>
      </x:c>
      <x:c r="B6" s="12" t="n">
        <x:f>'Metric Source'!B3</x:f>
        <x:v>0.9868</x:v>
      </x:c>
      <x:c r="C6" s="12" t="n">
        <x:f>'Metric Source'!C3</x:f>
        <x:v>0.9605</x:v>
      </x:c>
      <x:c r="D6" s="12" t="n">
        <x:f>C6-B6</x:f>
        <x:v>-0.02629999999999999</x:v>
      </x:c>
      <x:c r="F6" t="str">
        <x:v>unchanged</x:v>
      </x:c>
      <x:c r="G6" t="n">
        <x:f>'Metric Source'!F3</x:f>
        <x:v>6</x:v>
      </x:c>
      <x:c r="H6" t="str">
        <x:v>answer unchanged</x:v>
      </x:c>
    </x:row>
    <x:row r="7">
      <x:c r="A7" s="10" t="str">
        <x:v>Faithfulness normalized</x:v>
      </x:c>
      <x:c r="B7" s="12" t="n">
        <x:f>'Metric Source'!B4</x:f>
        <x:v>0.9868</x:v>
      </x:c>
      <x:c r="C7" s="12" t="n">
        <x:f>'Metric Source'!C4</x:f>
        <x:v>1</x:v>
      </x:c>
      <x:c r="D7" s="12" t="n">
        <x:f>C7-B7</x:f>
        <x:v>0.01319999999999999</x:v>
      </x:c>
      <x:c r="F7" t="str">
        <x:v>degraded</x:v>
      </x:c>
      <x:c r="G7" t="n">
        <x:f>'Metric Source'!F4</x:f>
        <x:v>4</x:v>
      </x:c>
      <x:c r="H7" t="str">
        <x:v>safety/correctness degradation</x:v>
      </x:c>
    </x:row>
    <x:row r="8">
      <x:c r="A8" s="10" t="str">
        <x:v>Unsupported Claim Rate</x:v>
      </x:c>
      <x:c r="B8" s="12" t="n">
        <x:f>'Metric Source'!B5</x:f>
        <x:v>0.021</x:v>
      </x:c>
      <x:c r="C8" s="12" t="n">
        <x:f>'Metric Source'!C5</x:f>
        <x:v>0.0329</x:v>
      </x:c>
      <x:c r="D8" s="12" t="n">
        <x:f>C8-B8</x:f>
        <x:v>0.011899999999999997</x:v>
      </x:c>
      <x:c r="F8" t="str">
        <x:v>uncertain</x:v>
      </x:c>
      <x:c r="G8" t="n">
        <x:f>'Metric Source'!F5</x:f>
        <x:v>28</x:v>
      </x:c>
      <x:c r="H8" t="str">
        <x:v>changed but not safely attributable</x:v>
      </x:c>
    </x:row>
    <x:row r="9">
      <x:c r="A9" s="10" t="str">
        <x:v>Citation compliance</x:v>
      </x:c>
      <x:c r="B9" s="12" t="n">
        <x:f>'Metric Source'!B6</x:f>
        <x:v>0.0526</x:v>
      </x:c>
      <x:c r="C9" s="12" t="n">
        <x:f>'Metric Source'!C6</x:f>
        <x:v>0</x:v>
      </x:c>
      <x:c r="D9" s="12" t="n">
        <x:f>C9-B9</x:f>
        <x:v>-0.0526</x:v>
      </x:c>
    </x:row>
    <x:row r="10">
      <x:c r="A10" s="10" t="str">
        <x:v>Correct refusals</x:v>
      </x:c>
      <x:c r="B10" s="11" t="n">
        <x:f>'Metric Source'!B7</x:f>
        <x:v>2</x:v>
      </x:c>
      <x:c r="C10" s="11" t="n">
        <x:f>'Metric Source'!C7</x:f>
        <x:v>0</x:v>
      </x:c>
      <x:c r="D10" s="11" t="n">
        <x:f>C10-B10</x:f>
        <x:v>-2</x:v>
      </x:c>
    </x:row>
    <x:row r="11">
      <x:c r="A11" s="10" t="str">
        <x:v>Hallucination answers</x:v>
      </x:c>
      <x:c r="B11" s="11" t="n">
        <x:f>'Metric Source'!B8</x:f>
        <x:v>3</x:v>
      </x:c>
      <x:c r="C11" s="11" t="n">
        <x:f>'Metric Source'!C8</x:f>
        <x:v>5</x:v>
      </x:c>
      <x:c r="D11" s="11" t="n">
        <x:f>C11-B11</x:f>
        <x:v>2</x:v>
      </x:c>
    </x:row>
    <x:row r="12">
      <x:c r="A12" s="10" t="str">
        <x:v>Avg generation latency (s)</x:v>
      </x:c>
      <x:c r="B12" s="13" t="n">
        <x:f>'Metric Source'!B9</x:f>
        <x:v>19.74272939211407</x:v>
      </x:c>
      <x:c r="C12" s="13" t="n">
        <x:f>'Metric Source'!C9</x:f>
        <x:v>20.598807165782137</x:v>
      </x:c>
      <x:c r="D12" s="13" t="n">
        <x:f>C12-B12</x:f>
        <x:v>0.8560777736680656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0" hidden="0" customWidth="1"/>
    <x:col min="3" max="3" width="17" hidden="0" customWidth="1"/>
    <x:col min="4" max="4" width="18" hidden="0" customWidth="1"/>
    <x:col min="5" max="5" width="32" hidden="0" customWidth="1"/>
    <x:col min="6" max="6" width="30" hidden="0" customWidth="1"/>
    <x:col min="7" max="7" width="44" hidden="0" customWidth="1"/>
    <x:col min="8" max="8" width="44" hidden="0" customWidth="1"/>
    <x:col min="24" max="24" width="31" hidden="0" customWidth="1"/>
    <x:col min="25" max="25" width="31" hidden="0" customWidth="1"/>
    <x:col min="28" max="28" width="31" hidden="0" customWidth="1"/>
    <x:col min="29" max="29" width="31" hidden="0" customWidth="1"/>
    <x:col min="30" max="30" width="16" hidden="0" customWidth="1"/>
    <x:col min="41" max="41" width="38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6" max="26" width="15" hidden="0" customWidth="1"/>
    <x:col min="27" max="27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</x:cols>
  <x:sheetData>
    <x:row r="1" ht="32" customHeight="1">
      <x:c r="A1" s="14" t="str">
        <x:v>Paired 38-Question A/B Comparison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  <x:c r="N1" s="14"/>
      <x:c r="O1" s="14"/>
      <x:c r="P1" s="14"/>
      <x:c r="Q1" s="14"/>
      <x:c r="R1" s="14"/>
      <x:c r="S1" s="14"/>
      <x:c r="T1" s="14"/>
      <x:c r="U1" s="14"/>
      <x:c r="V1" s="14"/>
      <x:c r="W1" s="14"/>
      <x:c r="X1" s="14"/>
      <x:c r="Y1" s="14"/>
      <x:c r="Z1" s="14"/>
      <x:c r="AA1" s="14"/>
      <x:c r="AB1" s="14"/>
      <x:c r="AC1" s="14"/>
      <x:c r="AD1" s="14"/>
      <x:c r="AE1" s="14"/>
      <x:c r="AF1" s="14"/>
      <x:c r="AG1" s="14"/>
      <x:c r="AH1" s="14"/>
      <x:c r="AI1" s="14"/>
      <x:c r="AJ1" s="14"/>
      <x:c r="AK1" s="14"/>
      <x:c r="AL1" s="14"/>
      <x:c r="AM1" s="14"/>
      <x:c r="AN1" s="14"/>
      <x:c r="AO1" s="14"/>
    </x:row>
    <x:row r="2" ht="28" customHeight="1">
      <x:c r="A2" s="17" t="str">
        <x:v>Yellow columns are blank human-review inputs. No human label contributed to automatic metrics.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  <x:c r="O2" s="17"/>
      <x:c r="P2" s="17"/>
      <x:c r="Q2" s="17"/>
      <x:c r="R2" s="17"/>
      <x:c r="S2" s="17"/>
      <x:c r="T2" s="17"/>
      <x:c r="U2" s="17"/>
      <x:c r="V2" s="17"/>
      <x:c r="W2" s="17"/>
      <x:c r="X2" s="17"/>
      <x:c r="Y2" s="17"/>
      <x:c r="Z2" s="17"/>
      <x:c r="AA2" s="17"/>
      <x:c r="AB2" s="17"/>
      <x:c r="AC2" s="17"/>
      <x:c r="AD2" s="17"/>
      <x:c r="AE2" s="17"/>
      <x:c r="AF2" s="17"/>
      <x:c r="AG2" s="17"/>
      <x:c r="AH2" s="17"/>
      <x:c r="AI2" s="17"/>
      <x:c r="AJ2" s="17"/>
      <x:c r="AK2" s="17"/>
      <x:c r="AL2" s="17"/>
      <x:c r="AM2" s="17"/>
      <x:c r="AN2" s="17"/>
      <x:c r="AO2" s="17"/>
    </x:row>
    <x:row r="4" ht="42" customHeight="1">
      <x:c r="A4" s="19" t="str">
        <x:v>question_id</x:v>
      </x:c>
      <x:c r="B4" s="19" t="str">
        <x:v>question</x:v>
      </x:c>
      <x:c r="C4" s="19" t="str">
        <x:v>eval_status</x:v>
      </x:c>
      <x:c r="D4" s="19" t="str">
        <x:v>category</x:v>
      </x:c>
      <x:c r="E4" s="19" t="str">
        <x:v>retrieved_chunk_ids</x:v>
      </x:c>
      <x:c r="F4" s="19" t="str">
        <x:v>retrieved_document_ids</x:v>
      </x:c>
      <x:c r="G4" s="19" t="str">
        <x:v>A answer</x:v>
      </x:c>
      <x:c r="H4" s="19" t="str">
        <x:v>B answer</x:v>
      </x:c>
      <x:c r="I4" s="19" t="str">
        <x:v>A correctness</x:v>
      </x:c>
      <x:c r="J4" s="19" t="str">
        <x:v>B correctness</x:v>
      </x:c>
      <x:c r="K4" s="19" t="str">
        <x:v>Δ correctness</x:v>
      </x:c>
      <x:c r="L4" s="19" t="str">
        <x:v>A faithfulness</x:v>
      </x:c>
      <x:c r="M4" s="19" t="str">
        <x:v>B faithfulness</x:v>
      </x:c>
      <x:c r="N4" s="19" t="str">
        <x:v>Δ faithfulness</x:v>
      </x:c>
      <x:c r="O4" s="19" t="str">
        <x:v>A unsupported claims</x:v>
      </x:c>
      <x:c r="P4" s="19" t="str">
        <x:v>A total claims</x:v>
      </x:c>
      <x:c r="Q4" s="19" t="str">
        <x:v>A unsupported rate</x:v>
      </x:c>
      <x:c r="R4" s="19" t="str">
        <x:v>B unsupported claims</x:v>
      </x:c>
      <x:c r="S4" s="19" t="str">
        <x:v>B total claims</x:v>
      </x:c>
      <x:c r="T4" s="19" t="str">
        <x:v>B unsupported rate</x:v>
      </x:c>
      <x:c r="U4" s="19" t="str">
        <x:v>A citation compliant</x:v>
      </x:c>
      <x:c r="V4" s="19" t="str">
        <x:v>B citation compliant</x:v>
      </x:c>
      <x:c r="W4" s="19" t="str">
        <x:v>Δ citation compliance</x:v>
      </x:c>
      <x:c r="X4" s="19" t="str">
        <x:v>A citation errors</x:v>
      </x:c>
      <x:c r="Y4" s="19" t="str">
        <x:v>B citation errors</x:v>
      </x:c>
      <x:c r="Z4" s="19" t="str">
        <x:v>A refusal appropriate</x:v>
      </x:c>
      <x:c r="AA4" s="19" t="str">
        <x:v>B refusal appropriate</x:v>
      </x:c>
      <x:c r="AB4" s="19" t="str">
        <x:v>A labels</x:v>
      </x:c>
      <x:c r="AC4" s="19" t="str">
        <x:v>B labels</x:v>
      </x:c>
      <x:c r="AD4" s="19" t="str">
        <x:v>overall change</x:v>
      </x:c>
      <x:c r="AE4" s="19" t="str">
        <x:v>A composite</x:v>
      </x:c>
      <x:c r="AF4" s="19" t="str">
        <x:v>B composite</x:v>
      </x:c>
      <x:c r="AG4" s="19" t="str">
        <x:v>A latency s</x:v>
      </x:c>
      <x:c r="AH4" s="19" t="str">
        <x:v>B latency s</x:v>
      </x:c>
      <x:c r="AI4" s="19" t="str">
        <x:v>human_preferred_group</x:v>
      </x:c>
      <x:c r="AJ4" s="19" t="str">
        <x:v>human_correctness_a</x:v>
      </x:c>
      <x:c r="AK4" s="19" t="str">
        <x:v>human_correctness_b</x:v>
      </x:c>
      <x:c r="AL4" s="19" t="str">
        <x:v>human_faithfulness_a</x:v>
      </x:c>
      <x:c r="AM4" s="19" t="str">
        <x:v>human_faithfulness_b</x:v>
      </x:c>
      <x:c r="AN4" s="19" t="str">
        <x:v>human_citation_assessment</x:v>
      </x:c>
      <x:c r="AO4" s="19" t="str">
        <x:v>human_comment</x:v>
      </x:c>
    </x:row>
    <x:row r="5">
      <x:c r="A5" s="22" t="str">
        <x:v>RET-01</x:v>
      </x:c>
      <x:c r="B5" s="22" t="str">
        <x:v>如何查询清华大学本科生学籍、注册与培养管理规定？</x:v>
      </x:c>
      <x:c r="C5" s="22" t="str">
        <x:v>CONFIRMED</x:v>
      </x:c>
      <x:c r="D5" s="22" t="str">
        <x:v>教务与学籍</x:v>
      </x:c>
      <x:c r="E5" s="22" t="str">
        <x:v>PROV0-STGPUB-0047-0000 | PROV0-STGPUB-0047-0008 | PROV0-STGPUB-0048-0008 | PROV0-STGPUB-0047-0001 | PROV0-STGPUB-0048-0000</x:v>
      </x:c>
      <x:c r="F5" s="22" t="str">
        <x:v>STGPUB-0047 | STGPUB-0047 | STGPUB-0048 | STGPUB-0047 | STGPUB-0048</x:v>
      </x:c>
      <x:c r="G5" s="22" t="str">
        <x:v>清华大学本科生学籍管理规定由2016~2017学年度第25次校务会议通过，2019~20学年度第30次校务会议修订。该规定适用于全校本科生的学籍管理。</x:v>
      </x:c>
      <x:c r="H5" s="22" t="str">
        <x:v>清华大学本科生学籍管理规定可从学校官网查询。</x:v>
      </x:c>
      <x:c r="I5" s="22" t="n">
        <x:v>2</x:v>
      </x:c>
      <x:c r="J5" s="22" t="n">
        <x:v>2</x:v>
      </x:c>
      <x:c r="K5" s="22" t="n">
        <x:v>0</x:v>
      </x:c>
      <x:c r="L5" s="22" t="n">
        <x:v>2</x:v>
      </x:c>
      <x:c r="M5" s="22" t="n">
        <x:v>2</x:v>
      </x:c>
      <x:c r="N5" s="22" t="n">
        <x:v>0</x:v>
      </x:c>
      <x:c r="O5" s="22" t="n">
        <x:v>0</x:v>
      </x:c>
      <x:c r="P5" s="22" t="n">
        <x:v>5</x:v>
      </x:c>
      <x:c r="Q5" s="23" t="n">
        <x:v>0</x:v>
      </x:c>
      <x:c r="R5" s="22" t="n">
        <x:v>0</x:v>
      </x:c>
      <x:c r="S5" s="22" t="n">
        <x:v>5</x:v>
      </x:c>
      <x:c r="T5" s="23" t="n">
        <x:v>0</x:v>
      </x:c>
      <x:c r="U5" s="22" t="n">
        <x:v>0</x:v>
      </x:c>
      <x:c r="V5" s="22" t="n">
        <x:v>0</x:v>
      </x:c>
      <x:c r="W5" s="22" t="n">
        <x:v>0</x:v>
      </x:c>
      <x:c r="X5" s="22" t="str">
        <x:v>MISSING_CITATION</x:v>
      </x:c>
      <x:c r="Y5" s="22" t="str">
        <x:v>MISSING_CITATION</x:v>
      </x:c>
      <x:c r="Z5" s="22" t="str"/>
      <x:c r="AA5" s="22" t="str"/>
      <x:c r="AB5" s="22" t="str">
        <x:v>MISSING_CITATION</x:v>
      </x:c>
      <x:c r="AC5" s="22" t="str">
        <x:v>MISSING_CITATION</x:v>
      </x:c>
      <x:c r="AD5" s="22" t="str">
        <x:v>uncertain</x:v>
      </x:c>
      <x:c r="AE5" s="22" t="n">
        <x:v>5</x:v>
      </x:c>
      <x:c r="AF5" s="22" t="n">
        <x:v>5</x:v>
      </x:c>
      <x:c r="AG5" s="24" t="n">
        <x:v>20.466580700012855</x:v>
      </x:c>
      <x:c r="AH5" s="24" t="n">
        <x:v>26.695528900017962</x:v>
      </x:c>
      <x:c r="AI5" s="26" t="str"/>
      <x:c r="AJ5" s="26" t="str"/>
      <x:c r="AK5" s="26" t="str"/>
      <x:c r="AL5" s="26" t="str"/>
      <x:c r="AM5" s="26" t="str"/>
      <x:c r="AN5" s="26" t="str"/>
      <x:c r="AO5" s="26" t="str"/>
    </x:row>
    <x:row r="6">
      <x:c r="A6" s="22" t="str">
        <x:v>RET-02</x:v>
      </x:c>
      <x:c r="B6" s="22" t="str">
        <x:v>学生公寓住宿规定、入住和退宿怎么办？</x:v>
      </x:c>
      <x:c r="C6" s="22" t="str">
        <x:v>CONFIRMED</x:v>
      </x:c>
      <x:c r="D6" s="22" t="str">
        <x:v>住宿服务</x:v>
      </x:c>
      <x:c r="E6" s="22" t="str">
        <x:v>PROV0-STGPUB-0001-0001 | PROV0-STGPUB-0007-0000 | PROV0-STGPUB-0001-0005 | PROV0-STGPUB-0001-0006 | PROV0-STGPUB-0001-0004</x:v>
      </x:c>
      <x:c r="F6" s="22" t="str">
        <x:v>STGPUB-0001 | STGPUB-0007 | STGPUB-0001 | STGPUB-0001 | STGPUB-0001</x:v>
      </x:c>
      <x:c r="G6" s="22" t="str">
        <x:v>学生公寓住宿规定如下：
1. 具有学校学籍的全日制在校学生具有申请入住资格。
2. 提出住宿申请，经批准后方可入住。
3. 与学生社区管理服务中心签订住宿协议。
4. 学生社区管理服务中心统筹安排。
5. 如需调整，提前告知相关学生配合搬家。
6. 办理入住手续后入住指定床位，未经批准不得擅自调换。
7. 遇疾病等特殊情况需调换床位，应向院系和学生社区管理服务中心申请。
8. 毕业、住宿协议到期、退学</x:v>
      </x:c>
      <x:c r="H6" s="22" t="str">
        <x:v>学生公寓住宿规定如下：
1. 具有学校学籍的全日制在校学生具有申请入住资格。
2. 学生提出住宿申请，经批准后方可入住。
3. 获批住宿的学生应当与学生社区管理服务中心签订住宿协议。
4. 学生公寓按照分区住宿、院系相对集中的原则进行住宿分配。
5. 住宿学生应当服从学校住宿安排及调整。
6. 学生办理入住手续后应当入住指定床位，不得擅自调换。
7. 学生遇疾病等特殊情况需调换床位时，应向所在院系和</x:v>
      </x:c>
      <x:c r="I6" s="22" t="n">
        <x:v>2</x:v>
      </x:c>
      <x:c r="J6" s="22" t="n">
        <x:v>2</x:v>
      </x:c>
      <x:c r="K6" s="22" t="n">
        <x:v>0</x:v>
      </x:c>
      <x:c r="L6" s="22" t="n">
        <x:v>2</x:v>
      </x:c>
      <x:c r="M6" s="22" t="n">
        <x:v>2</x:v>
      </x:c>
      <x:c r="N6" s="22" t="n">
        <x:v>0</x:v>
      </x:c>
      <x:c r="O6" s="22" t="n">
        <x:v>0</x:v>
      </x:c>
      <x:c r="P6" s="22" t="n">
        <x:v>10</x:v>
      </x:c>
      <x:c r="Q6" s="23" t="n">
        <x:v>0</x:v>
      </x:c>
      <x:c r="R6" s="22" t="n">
        <x:v>0</x:v>
      </x:c>
      <x:c r="S6" s="22" t="n">
        <x:v>10</x:v>
      </x:c>
      <x:c r="T6" s="23" t="n">
        <x:v>0</x:v>
      </x:c>
      <x:c r="U6" s="22" t="n">
        <x:v>0</x:v>
      </x:c>
      <x:c r="V6" s="22" t="n">
        <x:v>0</x:v>
      </x:c>
      <x:c r="W6" s="22" t="n">
        <x:v>0</x:v>
      </x:c>
      <x:c r="X6" s="22" t="str">
        <x:v>MISSING_CITATION</x:v>
      </x:c>
      <x:c r="Y6" s="22" t="str">
        <x:v>MISSING_CITATION</x:v>
      </x:c>
      <x:c r="Z6" s="22" t="str"/>
      <x:c r="AA6" s="22" t="str"/>
      <x:c r="AB6" s="22" t="str">
        <x:v>MISSING_CITATION</x:v>
      </x:c>
      <x:c r="AC6" s="22" t="str">
        <x:v>MISSING_CITATION</x:v>
      </x:c>
      <x:c r="AD6" s="22" t="str">
        <x:v>uncertain</x:v>
      </x:c>
      <x:c r="AE6" s="22" t="n">
        <x:v>5</x:v>
      </x:c>
      <x:c r="AF6" s="22" t="n">
        <x:v>5</x:v>
      </x:c>
      <x:c r="AG6" s="24" t="n">
        <x:v>25.70554260001518</x:v>
      </x:c>
      <x:c r="AH6" s="24" t="n">
        <x:v>27.382293800008483</x:v>
      </x:c>
      <x:c r="AI6" s="26" t="str"/>
      <x:c r="AJ6" s="26" t="str"/>
      <x:c r="AK6" s="26" t="str"/>
      <x:c r="AL6" s="26" t="str"/>
      <x:c r="AM6" s="26" t="str"/>
      <x:c r="AN6" s="26" t="str"/>
      <x:c r="AO6" s="26" t="str"/>
    </x:row>
    <x:row r="7">
      <x:c r="A7" s="22" t="str">
        <x:v>RET-03</x:v>
      </x:c>
      <x:c r="B7" s="22" t="str">
        <x:v>清华校园网如何接入，账号或网络故障如何处理？</x:v>
      </x:c>
      <x:c r="C7" s="22" t="str">
        <x:v>CONFIRMED</x:v>
      </x:c>
      <x:c r="D7" s="22" t="str">
        <x:v>网络与信息化</x:v>
      </x:c>
      <x:c r="E7" s="22" t="str">
        <x:v>PROV0-STGPUB-0106-0000 | PROV0-STGPUB-0104-0001 | PROV0-STGPUB-0104-0002 | PROV0-STGPUB-0152-0003 | PROV0-STGPUB-0032-0001</x:v>
      </x:c>
      <x:c r="F7" s="22" t="str">
        <x:v>STGPUB-0106 | STGPUB-0104 | STGPUB-0104 | STGPUB-0152 | STGPUB-0032</x:v>
      </x:c>
      <x:c r="G7" s="22" t="str">
        <x:v>清华校园网提供有线网络服务，无线网络服务，GPON光纤入户服务等。账号或网络故障可联系热线服务或在线服务进行处理。</x:v>
      </x:c>
      <x:c r="H7" s="22" t="str">
        <x:v>清华校园网提供有线网络服务和无线网络服务，支持IPv4/IPv6双栈认证。遇到问题可拨打热线电话或通过服务邮箱咨询。</x:v>
      </x:c>
      <x:c r="I7" s="22" t="n">
        <x:v>2</x:v>
      </x:c>
      <x:c r="J7" s="22" t="n">
        <x:v>2</x:v>
      </x:c>
      <x:c r="K7" s="22" t="n">
        <x:v>0</x:v>
      </x:c>
      <x:c r="L7" s="22" t="n">
        <x:v>2</x:v>
      </x:c>
      <x:c r="M7" s="22" t="n">
        <x:v>2</x:v>
      </x:c>
      <x:c r="N7" s="22" t="n">
        <x:v>0</x:v>
      </x:c>
      <x:c r="O7" s="22" t="n">
        <x:v>0</x:v>
      </x:c>
      <x:c r="P7" s="22" t="n">
        <x:v>5</x:v>
      </x:c>
      <x:c r="Q7" s="23" t="n">
        <x:v>0</x:v>
      </x:c>
      <x:c r="R7" s="22" t="n">
        <x:v>0</x:v>
      </x:c>
      <x:c r="S7" s="22" t="n">
        <x:v>5</x:v>
      </x:c>
      <x:c r="T7" s="23" t="n">
        <x:v>0</x:v>
      </x:c>
      <x:c r="U7" s="22" t="n">
        <x:v>0</x:v>
      </x:c>
      <x:c r="V7" s="22" t="n">
        <x:v>0</x:v>
      </x:c>
      <x:c r="W7" s="22" t="n">
        <x:v>0</x:v>
      </x:c>
      <x:c r="X7" s="22" t="str">
        <x:v>MISSING_CITATION</x:v>
      </x:c>
      <x:c r="Y7" s="22" t="str">
        <x:v>MISSING_CITATION</x:v>
      </x:c>
      <x:c r="Z7" s="22" t="str"/>
      <x:c r="AA7" s="22" t="str"/>
      <x:c r="AB7" s="22" t="str">
        <x:v>MISSING_CITATION</x:v>
      </x:c>
      <x:c r="AC7" s="22" t="str">
        <x:v>MISSING_CITATION</x:v>
      </x:c>
      <x:c r="AD7" s="22" t="str">
        <x:v>uncertain</x:v>
      </x:c>
      <x:c r="AE7" s="22" t="n">
        <x:v>5</x:v>
      </x:c>
      <x:c r="AF7" s="22" t="n">
        <x:v>5</x:v>
      </x:c>
      <x:c r="AG7" s="24" t="n">
        <x:v>20.506756099988706</x:v>
      </x:c>
      <x:c r="AH7" s="24" t="n">
        <x:v>20.899385800003074</x:v>
      </x:c>
      <x:c r="AI7" s="26" t="str"/>
      <x:c r="AJ7" s="26" t="str"/>
      <x:c r="AK7" s="26" t="str"/>
      <x:c r="AL7" s="26" t="str"/>
      <x:c r="AM7" s="26" t="str"/>
      <x:c r="AN7" s="26" t="str"/>
      <x:c r="AO7" s="26" t="str"/>
    </x:row>
    <x:row r="8">
      <x:c r="A8" s="22" t="str">
        <x:v>RET-04</x:v>
      </x:c>
      <x:c r="B8" s="22" t="str">
        <x:v>清华校医院门诊、报销和就医流程是什么？</x:v>
      </x:c>
      <x:c r="C8" s="22" t="str">
        <x:v>CONFIRMED</x:v>
      </x:c>
      <x:c r="D8" s="22" t="str">
        <x:v>医疗健康</x:v>
      </x:c>
      <x:c r="E8" s="22" t="str">
        <x:v>PROV0-STGPUB-0092-0004 | PROV0-STGPUB-0085-0000 | PROV0-STGPUB-0085-0002 | PROV0-STGPUB-0085-0005 | PROV0-STGPUB-0085-0001</x:v>
      </x:c>
      <x:c r="F8" s="22" t="str">
        <x:v>STGPUB-0092 | STGPUB-0085 | STGPUB-0085 | STGPUB-0085 | STGPUB-0085</x:v>
      </x:c>
      <x:c r="G8" s="22" t="str">
        <x:v>清华校医院：门诊-检验医学科、输血科、超声科等；报销需咨询财务部门；就医流程可至官网查询。</x:v>
      </x:c>
      <x:c r="H8" s="22" t="str">
        <x:v>清华校医院门诊、报销和就医流程信息不详，需查询官网获取最新信息。</x:v>
      </x:c>
      <x:c r="I8" s="22" t="n">
        <x:v>2</x:v>
      </x:c>
      <x:c r="J8" s="22" t="n">
        <x:v>1</x:v>
      </x:c>
      <x:c r="K8" s="22" t="n">
        <x:v>-1</x:v>
      </x:c>
      <x:c r="L8" s="22" t="n">
        <x:v>2</x:v>
      </x:c>
      <x:c r="M8" s="22" t="n">
        <x:v>2</x:v>
      </x:c>
      <x:c r="N8" s="22" t="n">
        <x:v>0</x:v>
      </x:c>
      <x:c r="O8" s="22" t="n">
        <x:v>0</x:v>
      </x:c>
      <x:c r="P8" s="22" t="n">
        <x:v>5</x:v>
      </x:c>
      <x:c r="Q8" s="23" t="n">
        <x:v>0</x:v>
      </x:c>
      <x:c r="R8" s="22" t="n">
        <x:v>0</x:v>
      </x:c>
      <x:c r="S8" s="22" t="n">
        <x:v>5</x:v>
      </x:c>
      <x:c r="T8" s="23" t="n">
        <x:v>0</x:v>
      </x:c>
      <x:c r="U8" s="22" t="n">
        <x:v>0</x:v>
      </x:c>
      <x:c r="V8" s="22" t="n">
        <x:v>0</x:v>
      </x:c>
      <x:c r="W8" s="22" t="n">
        <x:v>0</x:v>
      </x:c>
      <x:c r="X8" s="22" t="str">
        <x:v>MISSING_CITATION</x:v>
      </x:c>
      <x:c r="Y8" s="22" t="str">
        <x:v>MISSING_CITATION</x:v>
      </x:c>
      <x:c r="Z8" s="22" t="str"/>
      <x:c r="AA8" s="22" t="str"/>
      <x:c r="AB8" s="22" t="str">
        <x:v>MISSING_CITATION</x:v>
      </x:c>
      <x:c r="AC8" s="22" t="str">
        <x:v>MISSING_CITATION</x:v>
      </x:c>
      <x:c r="AD8" s="22" t="str">
        <x:v>degraded</x:v>
      </x:c>
      <x:c r="AE8" s="22" t="n">
        <x:v>5</x:v>
      </x:c>
      <x:c r="AF8" s="22" t="n">
        <x:v>4</x:v>
      </x:c>
      <x:c r="AG8" s="24" t="n">
        <x:v>17.847321399953216</x:v>
      </x:c>
      <x:c r="AH8" s="24" t="n">
        <x:v>17.26409379998222</x:v>
      </x:c>
      <x:c r="AI8" s="26" t="str"/>
      <x:c r="AJ8" s="26" t="str"/>
      <x:c r="AK8" s="26" t="str"/>
      <x:c r="AL8" s="26" t="str"/>
      <x:c r="AM8" s="26" t="str"/>
      <x:c r="AN8" s="26" t="str"/>
      <x:c r="AO8" s="26" t="str"/>
    </x:row>
    <x:row r="9">
      <x:c r="A9" s="22" t="str">
        <x:v>RET-05</x:v>
      </x:c>
      <x:c r="B9" s="22" t="str">
        <x:v>清华大学图书馆如何借书、使用电子资源和查询开放时间？</x:v>
      </x:c>
      <x:c r="C9" s="22" t="str">
        <x:v>CONFIRMED</x:v>
      </x:c>
      <x:c r="D9" s="22" t="str">
        <x:v>图书馆服务</x:v>
      </x:c>
      <x:c r="E9" s="22" t="str">
        <x:v>PROV0-STGPUB-0140-0000 | PROV0-STGPUB-0113-0000 | PROV0-STGPUB-0141-0002 | PROV0-STGPUB-0140-0001 | PROV0-STGPUB-0205-0000</x:v>
      </x:c>
      <x:c r="F9" s="22" t="str">
        <x:v>STGPUB-0140 | STGPUB-0113 | STGPUB-0141 | STGPUB-0140 | STGPUB-0205</x:v>
      </x:c>
      <x:c r="G9" s="22" t="str">
        <x:v>- 1
- 6
- 7
- 8
- 9
- 10
- 11
- 12</x:v>
      </x:c>
      <x:c r="H9" s="22" t="str">
        <x:v>- 1: 金融图书馆开放时间为周一至周五：8:00—22:00,周末：14:00—22:00。
- 2: 读者需持工作证或学生证借用图书资料。
- 3: 凭本人的校园一卡通学生证、工作证和临时借阅证可以刷卡进入图书馆。
- 4: 可以参观金融馆并借阅资料，需登记有效证件。
- 5: 可以将书还到学校其他图书馆。
- 6: 需开通借书权限才能</x:v>
      </x:c>
      <x:c r="I9" s="22" t="n">
        <x:v>2</x:v>
      </x:c>
      <x:c r="J9" s="22" t="n">
        <x:v>2</x:v>
      </x:c>
      <x:c r="K9" s="22" t="n">
        <x:v>0</x:v>
      </x:c>
      <x:c r="L9" s="22" t="n">
        <x:v>2</x:v>
      </x:c>
      <x:c r="M9" s="22" t="n">
        <x:v>2</x:v>
      </x:c>
      <x:c r="N9" s="22" t="n">
        <x:v>0</x:v>
      </x:c>
      <x:c r="O9" s="22" t="n">
        <x:v>0</x:v>
      </x:c>
      <x:c r="P9" s="22" t="n">
        <x:v>12</x:v>
      </x:c>
      <x:c r="Q9" s="23" t="n">
        <x:v>0</x:v>
      </x:c>
      <x:c r="R9" s="22" t="n">
        <x:v>0</x:v>
      </x:c>
      <x:c r="S9" s="22" t="n">
        <x:v>6</x:v>
      </x:c>
      <x:c r="T9" s="23" t="n">
        <x:v>0</x:v>
      </x:c>
      <x:c r="U9" s="22" t="n">
        <x:v>0</x:v>
      </x:c>
      <x:c r="V9" s="22" t="n">
        <x:v>0</x:v>
      </x:c>
      <x:c r="W9" s="22" t="n">
        <x:v>0</x:v>
      </x:c>
      <x:c r="X9" s="22" t="str">
        <x:v>MISSING_CITATION</x:v>
      </x:c>
      <x:c r="Y9" s="22" t="str">
        <x:v>MISSING_CITATION</x:v>
      </x:c>
      <x:c r="Z9" s="22" t="str"/>
      <x:c r="AA9" s="22" t="str"/>
      <x:c r="AB9" s="22" t="str">
        <x:v>MISSING_CITATION</x:v>
      </x:c>
      <x:c r="AC9" s="22" t="str">
        <x:v>MISSING_CITATION</x:v>
      </x:c>
      <x:c r="AD9" s="22" t="str">
        <x:v>uncertain</x:v>
      </x:c>
      <x:c r="AE9" s="22" t="n">
        <x:v>5</x:v>
      </x:c>
      <x:c r="AF9" s="22" t="n">
        <x:v>5</x:v>
      </x:c>
      <x:c r="AG9" s="24" t="n">
        <x:v>21.511557299993</x:v>
      </x:c>
      <x:c r="AH9" s="24" t="n">
        <x:v>25.489454200025648</x:v>
      </x:c>
      <x:c r="AI9" s="26" t="str"/>
      <x:c r="AJ9" s="26" t="str"/>
      <x:c r="AK9" s="26" t="str"/>
      <x:c r="AL9" s="26" t="str"/>
      <x:c r="AM9" s="26" t="str"/>
      <x:c r="AN9" s="26" t="str"/>
      <x:c r="AO9" s="26" t="str"/>
    </x:row>
    <x:row r="10">
      <x:c r="A10" s="22" t="str">
        <x:v>RET-06</x:v>
      </x:c>
      <x:c r="B10" s="22" t="str">
        <x:v>清华学生奖学金、助学金申请和评选办法是什么？</x:v>
      </x:c>
      <x:c r="C10" s="22" t="str">
        <x:v>CONFIRMED</x:v>
      </x:c>
      <x:c r="D10" s="22" t="str">
        <x:v>奖助与资助</x:v>
      </x:c>
      <x:c r="E10" s="22" t="str">
        <x:v>PROV0-RESV1-0016-0001 | PROV0-RESV1-0016-0000 | PROV0-STGPUB-0029-0001 | PROV0-STGPUB-0029-0002 | PROV0-STGPUB-0081-0000</x:v>
      </x:c>
      <x:c r="F10" s="22" t="str">
        <x:v>RESV1-0016 | RESV1-0016 | STGPUB-0029 | STGPUB-0029 | STGPUB-0081</x:v>
      </x:c>
      <x:c r="G10" s="22" t="str">
        <x:v>清华学生奖学金、助学金评选办法如下：
- 特等奖学金面向全体本科生、研究生分别组织评选，每年表彰不超过二十名学生。
- 评选条件包括基本申请条件、道德品质优秀、学风端正、全面发展等。
- 现场答辩形式进行复评，形成推荐名单，提请校务会议审议。
- 奖学金获得者需在评选当年发放，并颁发荣誉证书。</x:v>
      </x:c>
      <x:c r="H10" s="22" t="str">
        <x:v>清华学生奖学金、助学金申请和评选办法如下：
- 特等奖学金面向本科生和研究生，每年评选一次，表彰不超过二十名学生。
- 评选条件包括基本申请条件、道德品质优秀、学风端正、学业成绩优良等。
- 现场答辩形式进行复评，形成推荐名单，提请校务会议审议。
- 特等奖学金获得者有弄虚作假等不当行为的，取消其参评资格并视情节轻重给予相应处理。</x:v>
      </x:c>
      <x:c r="I10" s="22" t="n">
        <x:v>2</x:v>
      </x:c>
      <x:c r="J10" s="22" t="n">
        <x:v>2</x:v>
      </x:c>
      <x:c r="K10" s="22" t="n">
        <x:v>0</x:v>
      </x:c>
      <x:c r="L10" s="22" t="n">
        <x:v>2</x:v>
      </x:c>
      <x:c r="M10" s="22" t="n">
        <x:v>2</x:v>
      </x:c>
      <x:c r="N10" s="22" t="n">
        <x:v>0</x:v>
      </x:c>
      <x:c r="O10" s="22" t="n">
        <x:v>0</x:v>
      </x:c>
      <x:c r="P10" s="22" t="n">
        <x:v>5</x:v>
      </x:c>
      <x:c r="Q10" s="23" t="n">
        <x:v>0</x:v>
      </x:c>
      <x:c r="R10" s="22" t="n">
        <x:v>0</x:v>
      </x:c>
      <x:c r="S10" s="22" t="n">
        <x:v>5</x:v>
      </x:c>
      <x:c r="T10" s="23" t="n">
        <x:v>0</x:v>
      </x:c>
      <x:c r="U10" s="22" t="n">
        <x:v>0</x:v>
      </x:c>
      <x:c r="V10" s="22" t="n">
        <x:v>0</x:v>
      </x:c>
      <x:c r="W10" s="22" t="n">
        <x:v>0</x:v>
      </x:c>
      <x:c r="X10" s="22" t="str">
        <x:v>MISSING_CITATION</x:v>
      </x:c>
      <x:c r="Y10" s="22" t="str">
        <x:v>MISSING_CITATION</x:v>
      </x:c>
      <x:c r="Z10" s="22" t="str"/>
      <x:c r="AA10" s="22" t="str"/>
      <x:c r="AB10" s="22" t="str">
        <x:v>MISSING_CITATION</x:v>
      </x:c>
      <x:c r="AC10" s="22" t="str">
        <x:v>MISSING_CITATION</x:v>
      </x:c>
      <x:c r="AD10" s="22" t="str">
        <x:v>uncertain</x:v>
      </x:c>
      <x:c r="AE10" s="22" t="n">
        <x:v>5</x:v>
      </x:c>
      <x:c r="AF10" s="22" t="n">
        <x:v>5</x:v>
      </x:c>
      <x:c r="AG10" s="24" t="n">
        <x:v>24.39968819997739</x:v>
      </x:c>
      <x:c r="AH10" s="24" t="n">
        <x:v>25.477243799949065</x:v>
      </x:c>
      <x:c r="AI10" s="26" t="str"/>
      <x:c r="AJ10" s="26" t="str"/>
      <x:c r="AK10" s="26" t="str"/>
      <x:c r="AL10" s="26" t="str"/>
      <x:c r="AM10" s="26" t="str"/>
      <x:c r="AN10" s="26" t="str"/>
      <x:c r="AO10" s="26" t="str"/>
    </x:row>
    <x:row r="11">
      <x:c r="A11" s="22" t="str">
        <x:v>RET-07</x:v>
      </x:c>
      <x:c r="B11" s="22" t="str">
        <x:v>清华学生如何获得就业指导、招聘与职业咨询？</x:v>
      </x:c>
      <x:c r="C11" s="22" t="str">
        <x:v>CONFIRMED</x:v>
      </x:c>
      <x:c r="D11" s="22" t="str">
        <x:v>就业与职业发展</x:v>
      </x:c>
      <x:c r="E11" s="22" t="str">
        <x:v>PROV0-STGPUB-0005-0002 | PROV0-STGPUB-0011-0004 | PROV0-STGPUB-0005-0000 | PROV0-STGPUB-0005-0005 | PROV0-STGPUB-0005-0006</x:v>
      </x:c>
      <x:c r="F11" s="22" t="str">
        <x:v>STGPUB-0005 | STGPUB-0011 | STGPUB-0005 | STGPUB-0005 | STGPUB-0005</x:v>
      </x:c>
      <x:c r="G11" s="22" t="str">
        <x:v>清华学生可预约个体咨询，由30余位咨询师提供个性化指导。生涯咨询涵盖自我了解、职业探索、方向选择、简历与面试、求职心理等方面。清华学生职业发展指导中心有近30位咨询师，可为不同学历、不同年级的学生提供系统性的生涯辅导。</x:v>
      </x:c>
      <x:c r="H11" s="22" t="str">
        <x:v>清华学生可向学生职业发展指导中心预约个体咨询，提供生涯规划、简历修改、面试技巧等服务。</x:v>
      </x:c>
      <x:c r="I11" s="22" t="n">
        <x:v>2</x:v>
      </x:c>
      <x:c r="J11" s="22" t="n">
        <x:v>2</x:v>
      </x:c>
      <x:c r="K11" s="22" t="n">
        <x:v>0</x:v>
      </x:c>
      <x:c r="L11" s="22" t="n">
        <x:v>2</x:v>
      </x:c>
      <x:c r="M11" s="22" t="n">
        <x:v>2</x:v>
      </x:c>
      <x:c r="N11" s="22" t="n">
        <x:v>0</x:v>
      </x:c>
      <x:c r="O11" s="22" t="n">
        <x:v>0</x:v>
      </x:c>
      <x:c r="P11" s="22" t="n">
        <x:v>5</x:v>
      </x:c>
      <x:c r="Q11" s="23" t="n">
        <x:v>0</x:v>
      </x:c>
      <x:c r="R11" s="22" t="n">
        <x:v>0</x:v>
      </x:c>
      <x:c r="S11" s="22" t="n">
        <x:v>5</x:v>
      </x:c>
      <x:c r="T11" s="23" t="n">
        <x:v>0</x:v>
      </x:c>
      <x:c r="U11" s="22" t="n">
        <x:v>0</x:v>
      </x:c>
      <x:c r="V11" s="22" t="n">
        <x:v>0</x:v>
      </x:c>
      <x:c r="W11" s="22" t="n">
        <x:v>0</x:v>
      </x:c>
      <x:c r="X11" s="22" t="str">
        <x:v>MISSING_CITATION</x:v>
      </x:c>
      <x:c r="Y11" s="22" t="str">
        <x:v>MISSING_CITATION</x:v>
      </x:c>
      <x:c r="Z11" s="22" t="str"/>
      <x:c r="AA11" s="22" t="str"/>
      <x:c r="AB11" s="22" t="str">
        <x:v>MISSING_CITATION</x:v>
      </x:c>
      <x:c r="AC11" s="22" t="str">
        <x:v>MISSING_CITATION</x:v>
      </x:c>
      <x:c r="AD11" s="22" t="str">
        <x:v>uncertain</x:v>
      </x:c>
      <x:c r="AE11" s="22" t="n">
        <x:v>5</x:v>
      </x:c>
      <x:c r="AF11" s="22" t="n">
        <x:v>5</x:v>
      </x:c>
      <x:c r="AG11" s="24" t="n">
        <x:v>23.70086770004127</x:v>
      </x:c>
      <x:c r="AH11" s="24" t="n">
        <x:v>21.407863300060853</x:v>
      </x:c>
      <x:c r="AI11" s="26" t="str"/>
      <x:c r="AJ11" s="26" t="str"/>
      <x:c r="AK11" s="26" t="str"/>
      <x:c r="AL11" s="26" t="str"/>
      <x:c r="AM11" s="26" t="str"/>
      <x:c r="AN11" s="26" t="str"/>
      <x:c r="AO11" s="26" t="str"/>
    </x:row>
    <x:row r="12">
      <x:c r="A12" s="22" t="str">
        <x:v>RET-08</x:v>
      </x:c>
      <x:c r="B12" s="22" t="str">
        <x:v>校内食堂、餐饮服务和就餐信息在哪里查询？</x:v>
      </x:c>
      <x:c r="C12" s="22" t="str">
        <x:v>CONFIRMED</x:v>
      </x:c>
      <x:c r="D12" s="22" t="str">
        <x:v>餐饮服务</x:v>
      </x:c>
      <x:c r="E12" s="22" t="str">
        <x:v>PROV0-STGPUB-0071-0001 | PROV0-STGPUB-0079-0000 | PROV0-STGPUB-0078-0001 | PROV0-STGPUB-0152-0003 | PROV0-STGPUB-0074-0001</x:v>
      </x:c>
      <x:c r="F12" s="22" t="str">
        <x:v>STGPUB-0071 | STGPUB-0079 | STGPUB-0078 | STGPUB-0152 | STGPUB-0074</x:v>
      </x:c>
      <x:c r="G12" s="22" t="str">
        <x:v>清华大学食堂信息：[C1]丁香园食堂、闻馨园食堂、双清园食堂；餐饮服务：[C2]饮食服务中心；就餐信息：[C5]教工餐厅。</x:v>
      </x:c>
      <x:c r="H12" s="22" t="str">
        <x:v>校内食堂、餐饮服务和就餐信息可在以下渠道查询：
1. **学生食堂**：丁香园食堂、闻馨园食堂、双清园食堂
2. **饮食服务中心**：清华膳食处改制为饮食服务中心，提供综合饮食服务网络
3. **商贸与食品安全管理中心**：专项检查和夏季食品安全检查
4. **联系我们-清华大学图书馆**：读者接待处、检索证明、科技查新工作站等</x:v>
      </x:c>
      <x:c r="I12" s="22" t="n">
        <x:v>2</x:v>
      </x:c>
      <x:c r="J12" s="22" t="n">
        <x:v>2</x:v>
      </x:c>
      <x:c r="K12" s="22" t="n">
        <x:v>0</x:v>
      </x:c>
      <x:c r="L12" s="22" t="n">
        <x:v>2</x:v>
      </x:c>
      <x:c r="M12" s="22" t="n">
        <x:v>2</x:v>
      </x:c>
      <x:c r="N12" s="22" t="n">
        <x:v>0</x:v>
      </x:c>
      <x:c r="O12" s="22" t="n">
        <x:v>0</x:v>
      </x:c>
      <x:c r="P12" s="22" t="n">
        <x:v>5</x:v>
      </x:c>
      <x:c r="Q12" s="23" t="n">
        <x:v>0</x:v>
      </x:c>
      <x:c r="R12" s="22" t="n">
        <x:v>0</x:v>
      </x:c>
      <x:c r="S12" s="22" t="n">
        <x:v>5</x:v>
      </x:c>
      <x:c r="T12" s="23" t="n">
        <x:v>0</x:v>
      </x:c>
      <x:c r="U12" s="22" t="n">
        <x:v>0</x:v>
      </x:c>
      <x:c r="V12" s="22" t="n">
        <x:v>0</x:v>
      </x:c>
      <x:c r="W12" s="22" t="n">
        <x:v>0</x:v>
      </x:c>
      <x:c r="X12" s="22" t="str">
        <x:v>CITATION_FORMAT_ERROR</x:v>
      </x:c>
      <x:c r="Y12" s="22" t="str">
        <x:v>MISSING_CITATION</x:v>
      </x:c>
      <x:c r="Z12" s="22" t="str"/>
      <x:c r="AA12" s="22" t="str"/>
      <x:c r="AB12" s="22" t="str">
        <x:v>CITATION_FORMAT_ERROR</x:v>
      </x:c>
      <x:c r="AC12" s="22" t="str">
        <x:v>MISSING_CITATION</x:v>
      </x:c>
      <x:c r="AD12" s="22" t="str">
        <x:v>uncertain</x:v>
      </x:c>
      <x:c r="AE12" s="22" t="n">
        <x:v>5</x:v>
      </x:c>
      <x:c r="AF12" s="22" t="n">
        <x:v>5</x:v>
      </x:c>
      <x:c r="AG12" s="24" t="n">
        <x:v>11.816780799999833</x:v>
      </x:c>
      <x:c r="AH12" s="24" t="n">
        <x:v>13.847476699971594</x:v>
      </x:c>
      <x:c r="AI12" s="26" t="str"/>
      <x:c r="AJ12" s="26" t="str"/>
      <x:c r="AK12" s="26" t="str"/>
      <x:c r="AL12" s="26" t="str"/>
      <x:c r="AM12" s="26" t="str"/>
      <x:c r="AN12" s="26" t="str"/>
      <x:c r="AO12" s="26" t="str"/>
    </x:row>
    <x:row r="13">
      <x:c r="A13" s="22" t="str">
        <x:v>RET-09</x:v>
      </x:c>
      <x:c r="B13" s="22" t="str">
        <x:v>校园交通、校车和进出校路线怎么查询？</x:v>
      </x:c>
      <x:c r="C13" s="22" t="str">
        <x:v>CONFIRMED</x:v>
      </x:c>
      <x:c r="D13" s="22" t="str">
        <x:v>交通服务</x:v>
      </x:c>
      <x:c r="E13" s="22" t="str">
        <x:v>PROV0-STGPUB-0077-0000 | PROV0-STGPUB-0077-0001 | PROV0-STGPUB-0077-0002 | PROV0-STGPUB-0226-0000 | PROV0-STGPUB-0152-0003</x:v>
      </x:c>
      <x:c r="F13" s="22" t="str">
        <x:v>STGPUB-0077 | STGPUB-0077 | STGPUB-0077 | STGPUB-0226 | STGPUB-0152</x:v>
      </x:c>
      <x:c r="G13" s="22" t="str">
        <x:v>根据当前资料无法确认。</x:v>
      </x:c>
      <x:c r="H13" s="22" t="str">
        <x:v>当前资料存在冲突。</x:v>
      </x:c>
      <x:c r="I13" s="22" t="n">
        <x:v>2</x:v>
      </x:c>
      <x:c r="J13" s="22" t="n">
        <x:v>2</x:v>
      </x:c>
      <x:c r="K13" s="22" t="n">
        <x:v>0</x:v>
      </x:c>
      <x:c r="L13" s="22" t="n">
        <x:v>2</x:v>
      </x:c>
      <x:c r="M13" s="22" t="n">
        <x:v>2</x:v>
      </x:c>
      <x:c r="N13" s="22" t="n">
        <x:v>0</x:v>
      </x:c>
      <x:c r="O13" s="22" t="n">
        <x:v>0</x:v>
      </x:c>
      <x:c r="P13" s="22" t="n">
        <x:v>0</x:v>
      </x:c>
      <x:c r="Q13" s="23" t="n">
        <x:v>0</x:v>
      </x:c>
      <x:c r="R13" s="22" t="n">
        <x:v>1</x:v>
      </x:c>
      <x:c r="S13" s="22" t="n">
        <x:v>5</x:v>
      </x:c>
      <x:c r="T13" s="23" t="n">
        <x:v>0.2</x:v>
      </x:c>
      <x:c r="U13" s="22" t="n">
        <x:v>1</x:v>
      </x:c>
      <x:c r="V13" s="22" t="n">
        <x:v>0</x:v>
      </x:c>
      <x:c r="W13" s="22" t="n">
        <x:v>-1</x:v>
      </x:c>
      <x:c r="X13" s="22" t="str">
        <x:v>NONE</x:v>
      </x:c>
      <x:c r="Y13" s="22" t="str">
        <x:v>MISSING_CITATION</x:v>
      </x:c>
      <x:c r="Z13" s="22" t="n">
        <x:v>1</x:v>
      </x:c>
      <x:c r="AA13" s="22" t="n">
        <x:v>0</x:v>
      </x:c>
      <x:c r="AB13" s="22" t="str">
        <x:v>SOURCE_QUALITY_FAILURE</x:v>
      </x:c>
      <x:c r="AC13" s="22" t="str">
        <x:v>SOURCE_QUALITY_FAILURE | GENERATION_HALLUCINATION | OVERCONFIDENT_ANSWER | MISSING_CITATION</x:v>
      </x:c>
      <x:c r="AD13" s="22" t="str">
        <x:v>degraded</x:v>
      </x:c>
      <x:c r="AE13" s="22" t="n">
        <x:v>7</x:v>
      </x:c>
      <x:c r="AF13" s="22" t="n">
        <x:v>3</x:v>
      </x:c>
      <x:c r="AG13" s="24" t="n">
        <x:v>23.874062199960463</x:v>
      </x:c>
      <x:c r="AH13" s="24" t="n">
        <x:v>23.846668499987572</x:v>
      </x:c>
      <x:c r="AI13" s="26" t="str"/>
      <x:c r="AJ13" s="26" t="str"/>
      <x:c r="AK13" s="26" t="str"/>
      <x:c r="AL13" s="26" t="str"/>
      <x:c r="AM13" s="26" t="str"/>
      <x:c r="AN13" s="26" t="str"/>
      <x:c r="AO13" s="26" t="str"/>
    </x:row>
    <x:row r="14">
      <x:c r="A14" s="22" t="str">
        <x:v>RET-10</x:v>
      </x:c>
      <x:c r="B14" s="22" t="str">
        <x:v>体育场馆如何预约、查询开放时间和使用规则？</x:v>
      </x:c>
      <x:c r="C14" s="22" t="str">
        <x:v>CONFIRMED</x:v>
      </x:c>
      <x:c r="D14" s="22" t="str">
        <x:v>体育与场馆</x:v>
      </x:c>
      <x:c r="E14" s="22" t="str">
        <x:v>PROV0-STGPUB-0159-0000 | PROV0-STGPUB-0162-0000 | PROV0-STGPUB-0013-0000 | PROV0-STGPUB-0170-0006 | PROV0-STGPUB-0003-0001</x:v>
      </x:c>
      <x:c r="F14" s="22" t="str">
        <x:v>STGPUB-0159 | STGPUB-0162 | STGPUB-0013 | STGPUB-0170 | STGPUB-0003</x:v>
      </x:c>
      <x:c r="G14" s="22" t="str">
        <x:v>体育场馆预约：应用导航-场地资源预约。开放时间及使用规则：根据当前资料无法确认。</x:v>
      </x:c>
      <x:c r="H14" s="22" t="str">
        <x:v>体育场馆预约：应用导航-场地资源预约。查询开放时间：可从“学生清华”公众号获取。使用规则：详见《注册临时居住证》。</x:v>
      </x:c>
      <x:c r="I14" s="22" t="n">
        <x:v>1</x:v>
      </x:c>
      <x:c r="J14" s="22" t="n">
        <x:v>2</x:v>
      </x:c>
      <x:c r="K14" s="22" t="n">
        <x:v>1</x:v>
      </x:c>
      <x:c r="L14" s="22" t="n">
        <x:v>1</x:v>
      </x:c>
      <x:c r="M14" s="22" t="n">
        <x:v>2</x:v>
      </x:c>
      <x:c r="N14" s="22" t="n">
        <x:v>1</x:v>
      </x:c>
      <x:c r="O14" s="22" t="n">
        <x:v>0</x:v>
      </x:c>
      <x:c r="P14" s="22" t="n">
        <x:v>2</x:v>
      </x:c>
      <x:c r="Q14" s="23" t="n">
        <x:v>0</x:v>
      </x:c>
      <x:c r="R14" s="22" t="n">
        <x:v>0</x:v>
      </x:c>
      <x:c r="S14" s="22" t="n">
        <x:v>5</x:v>
      </x:c>
      <x:c r="T14" s="23" t="n">
        <x:v>0</x:v>
      </x:c>
      <x:c r="U14" s="22" t="n">
        <x:v>0</x:v>
      </x:c>
      <x:c r="V14" s="22" t="n">
        <x:v>0</x:v>
      </x:c>
      <x:c r="W14" s="22" t="n">
        <x:v>0</x:v>
      </x:c>
      <x:c r="X14" s="22" t="str">
        <x:v>MISSING_CITATION</x:v>
      </x:c>
      <x:c r="Y14" s="22" t="str">
        <x:v>MISSING_CITATION</x:v>
      </x:c>
      <x:c r="Z14" s="22" t="str"/>
      <x:c r="AA14" s="22" t="str"/>
      <x:c r="AB14" s="22" t="str">
        <x:v>MISSING_CITATION</x:v>
      </x:c>
      <x:c r="AC14" s="22" t="str">
        <x:v>MISSING_CITATION</x:v>
      </x:c>
      <x:c r="AD14" s="22" t="str">
        <x:v>uncertain</x:v>
      </x:c>
      <x:c r="AE14" s="22" t="n">
        <x:v>3</x:v>
      </x:c>
      <x:c r="AF14" s="22" t="n">
        <x:v>5</x:v>
      </x:c>
      <x:c r="AG14" s="24" t="n">
        <x:v>7.978053100057878</x:v>
      </x:c>
      <x:c r="AH14" s="24" t="n">
        <x:v>8.96962240000721</x:v>
      </x:c>
      <x:c r="AI14" s="26" t="str"/>
      <x:c r="AJ14" s="26" t="str"/>
      <x:c r="AK14" s="26" t="str"/>
      <x:c r="AL14" s="26" t="str"/>
      <x:c r="AM14" s="26" t="str"/>
      <x:c r="AN14" s="26" t="str"/>
      <x:c r="AO14" s="26" t="str"/>
    </x:row>
    <x:row r="15">
      <x:c r="A15" s="22" t="str">
        <x:v>PROV-001</x:v>
      </x:c>
      <x:c r="B15" s="22" t="str">
        <x:v>本科新生不能按时报到时如何请假或申请保留入学资格？</x:v>
      </x:c>
      <x:c r="C15" s="22" t="str">
        <x:v>PROVISIONAL_EVAL</x:v>
      </x:c>
      <x:c r="D15" s="22" t="str">
        <x:v>教务与学籍</x:v>
      </x:c>
      <x:c r="E15" s="22" t="str">
        <x:v>PROV0-STGPUB-0047-0000 | PROV0-STGPUB-0047-0001 | PROV0-STGPUB-0047-0002 | PROV0-STGPUB-0048-0001 | PROV0-STGPUB-0047-0004</x:v>
      </x:c>
      <x:c r="F15" s="22" t="str">
        <x:v>STGPUB-0047 | STGPUB-0047 | STGPUB-0047 | STGPUB-0048 | STGPUB-0047</x:v>
      </x:c>
      <x:c r="G15" s="22" t="str">
        <x:v>新生不能按时报到时，可以向录取学院、学系请假，并申请保留入学资格。</x:v>
      </x:c>
      <x:c r="H15" s="22" t="str">
        <x:v>新生不能按时报到时，可以向录取学院、学系请假或申请保留入学资格。</x:v>
      </x:c>
      <x:c r="I15" s="22" t="n">
        <x:v>2</x:v>
      </x:c>
      <x:c r="J15" s="22" t="n">
        <x:v>2</x:v>
      </x:c>
      <x:c r="K15" s="22" t="n">
        <x:v>0</x:v>
      </x:c>
      <x:c r="L15" s="22" t="n">
        <x:v>2</x:v>
      </x:c>
      <x:c r="M15" s="22" t="n">
        <x:v>2</x:v>
      </x:c>
      <x:c r="N15" s="22" t="n">
        <x:v>0</x:v>
      </x:c>
      <x:c r="O15" s="22" t="n">
        <x:v>0</x:v>
      </x:c>
      <x:c r="P15" s="22" t="n">
        <x:v>2</x:v>
      </x:c>
      <x:c r="Q15" s="23" t="n">
        <x:v>0</x:v>
      </x:c>
      <x:c r="R15" s="22" t="n">
        <x:v>0</x:v>
      </x:c>
      <x:c r="S15" s="22" t="n">
        <x:v>2</x:v>
      </x:c>
      <x:c r="T15" s="23" t="n">
        <x:v>0</x:v>
      </x:c>
      <x:c r="U15" s="22" t="n">
        <x:v>0</x:v>
      </x:c>
      <x:c r="V15" s="22" t="n">
        <x:v>0</x:v>
      </x:c>
      <x:c r="W15" s="22" t="n">
        <x:v>0</x:v>
      </x:c>
      <x:c r="X15" s="22" t="str">
        <x:v>MISSING_CITATION</x:v>
      </x:c>
      <x:c r="Y15" s="22" t="str">
        <x:v>MISSING_CITATION</x:v>
      </x:c>
      <x:c r="Z15" s="22" t="str"/>
      <x:c r="AA15" s="22" t="str"/>
      <x:c r="AB15" s="22" t="str">
        <x:v>MISSING_CITATION</x:v>
      </x:c>
      <x:c r="AC15" s="22" t="str">
        <x:v>MISSING_CITATION</x:v>
      </x:c>
      <x:c r="AD15" s="22" t="str">
        <x:v>uncertain</x:v>
      </x:c>
      <x:c r="AE15" s="22" t="n">
        <x:v>5</x:v>
      </x:c>
      <x:c r="AF15" s="22" t="n">
        <x:v>5</x:v>
      </x:c>
      <x:c r="AG15" s="24" t="n">
        <x:v>26.736925100092776</x:v>
      </x:c>
      <x:c r="AH15" s="24" t="n">
        <x:v>26.300440200022422</x:v>
      </x:c>
      <x:c r="AI15" s="26" t="str"/>
      <x:c r="AJ15" s="26" t="str"/>
      <x:c r="AK15" s="26" t="str"/>
      <x:c r="AL15" s="26" t="str"/>
      <x:c r="AM15" s="26" t="str"/>
      <x:c r="AN15" s="26" t="str"/>
      <x:c r="AO15" s="26" t="str"/>
    </x:row>
    <x:row r="16">
      <x:c r="A16" s="22" t="str">
        <x:v>PROV-002</x:v>
      </x:c>
      <x:c r="B16" s="22" t="str">
        <x:v>在校本科生或研究生办理在学证明，可以去哪里申请和打印？</x:v>
      </x:c>
      <x:c r="C16" s="22" t="str">
        <x:v>PROVISIONAL_EVAL</x:v>
      </x:c>
      <x:c r="D16" s="22" t="str">
        <x:v>教务与学籍</x:v>
      </x:c>
      <x:c r="E16" s="22" t="str">
        <x:v>PROV0-STGPUB-0009-0001 | PROV0-STGPUB-0009-0000 | PROV0-STGPUB-0009-0002 | PROV0-STGPUB-0057-0000 | PROV0-STGPUB-0017-0000</x:v>
      </x:c>
      <x:c r="F16" s="22" t="str">
        <x:v>STGPUB-0009 | STGPUB-0009 | STGPUB-0009 | STGPUB-0057 | STGPUB-0017</x:v>
      </x:c>
      <x:c r="G16" s="22" t="str">
        <x:v>在校本科生或研究生办理在学证明，可以到所在院系教学办审批并签字盖章。如需打印，可到自助服务终端（六教A区零层入口处、紫荆C楼102）直接办理，或到注册中心（紫荆C楼201）手工办理。</x:v>
      </x:c>
      <x:c r="H16" s="22" t="str">
        <x:v>在校本科生或研究生办理在学证明，可以到所在院系教学办审批并签字盖章。如需打印，可到自助服务终端（六教A区零层入口处、紫荆C楼102）直接办理，或到注册中心（紫荆C楼201）手工办理。</x:v>
      </x:c>
      <x:c r="I16" s="22" t="n">
        <x:v>2</x:v>
      </x:c>
      <x:c r="J16" s="22" t="n">
        <x:v>2</x:v>
      </x:c>
      <x:c r="K16" s="22" t="n">
        <x:v>0</x:v>
      </x:c>
      <x:c r="L16" s="22" t="n">
        <x:v>2</x:v>
      </x:c>
      <x:c r="M16" s="22" t="n">
        <x:v>2</x:v>
      </x:c>
      <x:c r="N16" s="22" t="n">
        <x:v>0</x:v>
      </x:c>
      <x:c r="O16" s="22" t="n">
        <x:v>0</x:v>
      </x:c>
      <x:c r="P16" s="22" t="n">
        <x:v>7</x:v>
      </x:c>
      <x:c r="Q16" s="23" t="n">
        <x:v>0</x:v>
      </x:c>
      <x:c r="R16" s="22" t="n">
        <x:v>0</x:v>
      </x:c>
      <x:c r="S16" s="22" t="n">
        <x:v>7</x:v>
      </x:c>
      <x:c r="T16" s="23" t="n">
        <x:v>0</x:v>
      </x:c>
      <x:c r="U16" s="22" t="n">
        <x:v>0</x:v>
      </x:c>
      <x:c r="V16" s="22" t="n">
        <x:v>0</x:v>
      </x:c>
      <x:c r="W16" s="22" t="n">
        <x:v>0</x:v>
      </x:c>
      <x:c r="X16" s="22" t="str">
        <x:v>MISSING_CITATION</x:v>
      </x:c>
      <x:c r="Y16" s="22" t="str">
        <x:v>MISSING_CITATION</x:v>
      </x:c>
      <x:c r="Z16" s="22" t="str"/>
      <x:c r="AA16" s="22" t="str"/>
      <x:c r="AB16" s="22" t="str">
        <x:v>MISSING_CITATION</x:v>
      </x:c>
      <x:c r="AC16" s="22" t="str">
        <x:v>MISSING_CITATION</x:v>
      </x:c>
      <x:c r="AD16" s="22" t="str">
        <x:v>unchanged</x:v>
      </x:c>
      <x:c r="AE16" s="22" t="n">
        <x:v>5</x:v>
      </x:c>
      <x:c r="AF16" s="22" t="n">
        <x:v>5</x:v>
      </x:c>
      <x:c r="AG16" s="24" t="n">
        <x:v>22.95412440004293</x:v>
      </x:c>
      <x:c r="AH16" s="24" t="n">
        <x:v>22.815970099996775</x:v>
      </x:c>
      <x:c r="AI16" s="26" t="str"/>
      <x:c r="AJ16" s="26" t="str"/>
      <x:c r="AK16" s="26" t="str"/>
      <x:c r="AL16" s="26" t="str"/>
      <x:c r="AM16" s="26" t="str"/>
      <x:c r="AN16" s="26" t="str"/>
      <x:c r="AO16" s="26" t="str"/>
    </x:row>
    <x:row r="17">
      <x:c r="A17" s="22" t="str">
        <x:v>PROV-003</x:v>
      </x:c>
      <x:c r="B17" s="22" t="str">
        <x:v>学生不服学校处理或纪律处分时，校内申诉由哪个机构办理？</x:v>
      </x:c>
      <x:c r="C17" s="22" t="str">
        <x:v>PROVISIONAL_EVAL</x:v>
      </x:c>
      <x:c r="D17" s="22" t="str">
        <x:v>学生事务</x:v>
      </x:c>
      <x:c r="E17" s="22" t="str">
        <x:v>PROV0-STGPUB-0031-0000 | PROV0-STGPUB-0031-0003 | PROV0-STGPUB-0031-0001 | PROV0-STGPUB-0037-0002 | PROV0-STGPUB-0031-0002</x:v>
      </x:c>
      <x:c r="F17" s="22" t="str">
        <x:v>STGPUB-0031 | STGPUB-0031 | STGPUB-0031 | STGPUB-0037 | STGPUB-0031</x:v>
      </x:c>
      <x:c r="G17" s="22" t="str">
        <x:v>学生不服学校处理或纪律处分时，校内申诉由学生申诉处理委员会办理。</x:v>
      </x:c>
      <x:c r="H17" s="22" t="str">
        <x:v>学生不服学校处理或纪律处分时，校内申诉由学生申诉处理委员会办理。</x:v>
      </x:c>
      <x:c r="I17" s="22" t="n">
        <x:v>2</x:v>
      </x:c>
      <x:c r="J17" s="22" t="n">
        <x:v>2</x:v>
      </x:c>
      <x:c r="K17" s="22" t="n">
        <x:v>0</x:v>
      </x:c>
      <x:c r="L17" s="22" t="n">
        <x:v>2</x:v>
      </x:c>
      <x:c r="M17" s="22" t="n">
        <x:v>2</x:v>
      </x:c>
      <x:c r="N17" s="22" t="n">
        <x:v>0</x:v>
      </x:c>
      <x:c r="O17" s="22" t="n">
        <x:v>1</x:v>
      </x:c>
      <x:c r="P17" s="22" t="n">
        <x:v>1</x:v>
      </x:c>
      <x:c r="Q17" s="23" t="n">
        <x:v>1</x:v>
      </x:c>
      <x:c r="R17" s="22" t="n">
        <x:v>1</x:v>
      </x:c>
      <x:c r="S17" s="22" t="n">
        <x:v>1</x:v>
      </x:c>
      <x:c r="T17" s="23" t="n">
        <x:v>1</x:v>
      </x:c>
      <x:c r="U17" s="22" t="n">
        <x:v>0</x:v>
      </x:c>
      <x:c r="V17" s="22" t="n">
        <x:v>0</x:v>
      </x:c>
      <x:c r="W17" s="22" t="n">
        <x:v>0</x:v>
      </x:c>
      <x:c r="X17" s="22" t="str">
        <x:v>MISSING_CITATION</x:v>
      </x:c>
      <x:c r="Y17" s="22" t="str">
        <x:v>MISSING_CITATION</x:v>
      </x:c>
      <x:c r="Z17" s="22" t="n">
        <x:v>0</x:v>
      </x:c>
      <x:c r="AA17" s="22" t="n">
        <x:v>0</x:v>
      </x:c>
      <x:c r="AB17" s="22" t="str">
        <x:v>RETRIEVAL_FAILURE | GENERATION_HALLUCINATION | OVERCONFIDENT_ANSWER | MISSING_CITATION</x:v>
      </x:c>
      <x:c r="AC17" s="22" t="str">
        <x:v>RETRIEVAL_FAILURE | GENERATION_HALLUCINATION | OVERCONFIDENT_ANSWER | MISSING_CITATION</x:v>
      </x:c>
      <x:c r="AD17" s="22" t="str">
        <x:v>unchanged</x:v>
      </x:c>
      <x:c r="AE17" s="22" t="n">
        <x:v>3</x:v>
      </x:c>
      <x:c r="AF17" s="22" t="n">
        <x:v>3</x:v>
      </x:c>
      <x:c r="AG17" s="24" t="n">
        <x:v>26.365637200069614</x:v>
      </x:c>
      <x:c r="AH17" s="24" t="n">
        <x:v>26.173349199933</x:v>
      </x:c>
      <x:c r="AI17" s="26" t="str"/>
      <x:c r="AJ17" s="26" t="str"/>
      <x:c r="AK17" s="26" t="str"/>
      <x:c r="AL17" s="26" t="str"/>
      <x:c r="AM17" s="26" t="str"/>
      <x:c r="AN17" s="26" t="str"/>
      <x:c r="AO17" s="26" t="str"/>
    </x:row>
    <x:row r="18">
      <x:c r="A18" s="22" t="str">
        <x:v>PROV-004</x:v>
      </x:c>
      <x:c r="B18" s="22" t="str">
        <x:v>清华学生社团的建设、成立和日常管理依据什么办法？</x:v>
      </x:c>
      <x:c r="C18" s="22" t="str">
        <x:v>PROVISIONAL_EVAL</x:v>
      </x:c>
      <x:c r="D18" s="22" t="str">
        <x:v>学生事务</x:v>
      </x:c>
      <x:c r="E18" s="22" t="str">
        <x:v>PROV0-STGPUB-0033-0000 | PROV0-STGPUB-0034-0004 | PROV0-STGPUB-0034-0001 | PROV0-STGPUB-0034-0005 | PROV0-STGPUB-0034-0000</x:v>
      </x:c>
      <x:c r="F18" s="22" t="str">
        <x:v>STGPUB-0033 | STGPUB-0034 | STGPUB-0034 | STGPUB-0034 | STGPUB-0034</x:v>
      </x:c>
      <x:c r="G18" s="22" t="str">
        <x:v>清华学生社团的建设、成立和日常管理依据《清华大学学生社团建设管理办法》。</x:v>
      </x:c>
      <x:c r="H18" s="22" t="str">
        <x:v>清华学生社团的建设、成立和日常管理依据《清华大学学生社团建设管理办法》。</x:v>
      </x:c>
      <x:c r="I18" s="22" t="n">
        <x:v>2</x:v>
      </x:c>
      <x:c r="J18" s="22" t="n">
        <x:v>2</x:v>
      </x:c>
      <x:c r="K18" s="22" t="n">
        <x:v>0</x:v>
      </x:c>
      <x:c r="L18" s="22" t="n">
        <x:v>2</x:v>
      </x:c>
      <x:c r="M18" s="22" t="n">
        <x:v>2</x:v>
      </x:c>
      <x:c r="N18" s="22" t="n">
        <x:v>0</x:v>
      </x:c>
      <x:c r="O18" s="22" t="n">
        <x:v>0</x:v>
      </x:c>
      <x:c r="P18" s="22" t="n">
        <x:v>1</x:v>
      </x:c>
      <x:c r="Q18" s="23" t="n">
        <x:v>0</x:v>
      </x:c>
      <x:c r="R18" s="22" t="n">
        <x:v>0</x:v>
      </x:c>
      <x:c r="S18" s="22" t="n">
        <x:v>1</x:v>
      </x:c>
      <x:c r="T18" s="23" t="n">
        <x:v>0</x:v>
      </x:c>
      <x:c r="U18" s="22" t="n">
        <x:v>0</x:v>
      </x:c>
      <x:c r="V18" s="22" t="n">
        <x:v>0</x:v>
      </x:c>
      <x:c r="W18" s="22" t="n">
        <x:v>0</x:v>
      </x:c>
      <x:c r="X18" s="22" t="str">
        <x:v>MISSING_CITATION</x:v>
      </x:c>
      <x:c r="Y18" s="22" t="str">
        <x:v>MISSING_CITATION</x:v>
      </x:c>
      <x:c r="Z18" s="22" t="str"/>
      <x:c r="AA18" s="22" t="str"/>
      <x:c r="AB18" s="22" t="str">
        <x:v>MISSING_CITATION</x:v>
      </x:c>
      <x:c r="AC18" s="22" t="str">
        <x:v>MISSING_CITATION</x:v>
      </x:c>
      <x:c r="AD18" s="22" t="str">
        <x:v>unchanged</x:v>
      </x:c>
      <x:c r="AE18" s="22" t="n">
        <x:v>5</x:v>
      </x:c>
      <x:c r="AF18" s="22" t="n">
        <x:v>5</x:v>
      </x:c>
      <x:c r="AG18" s="24" t="n">
        <x:v>24.400593200000003</x:v>
      </x:c>
      <x:c r="AH18" s="24" t="n">
        <x:v>24.212288700044155</x:v>
      </x:c>
      <x:c r="AI18" s="26" t="str"/>
      <x:c r="AJ18" s="26" t="str"/>
      <x:c r="AK18" s="26" t="str"/>
      <x:c r="AL18" s="26" t="str"/>
      <x:c r="AM18" s="26" t="str"/>
      <x:c r="AN18" s="26" t="str"/>
      <x:c r="AO18" s="26" t="str"/>
    </x:row>
    <x:row r="19">
      <x:c r="A19" s="22" t="str">
        <x:v>PROV-005</x:v>
      </x:c>
      <x:c r="B19" s="22" t="str">
        <x:v>学生想申请调整宿舍，应查看什么办理流程？</x:v>
      </x:c>
      <x:c r="C19" s="22" t="str">
        <x:v>PROVISIONAL_EVAL</x:v>
      </x:c>
      <x:c r="D19" s="22" t="str">
        <x:v>住宿服务</x:v>
      </x:c>
      <x:c r="E19" s="22" t="str">
        <x:v>PROV0-STGPUB-0072-0000 | PROV0-STGPUB-0072-0001 | PROV0-STGPUB-0001-0001 | PROV0-STGPUB-0031-0005 | PROV0-STGPUB-0047-0004</x:v>
      </x:c>
      <x:c r="F19" s="22" t="str">
        <x:v>STGPUB-0072 | STGPUB-0072 | STGPUB-0001 | STGPUB-0031 | STGPUB-0047</x:v>
      </x:c>
      <x:c r="G19" s="22" t="str">
        <x:v>应查看《清华大学学生宿舍申请表》并提交给院系主管学生工作负责人签字、盖章。</x:v>
      </x:c>
      <x:c r="H19" s="22" t="str">
        <x:v>学生想申请调整宿舍，应查看《清华大学学生宿舍申请表》并提交给院系主管学生工作负责人签字、盖章。</x:v>
      </x:c>
      <x:c r="I19" s="22" t="n">
        <x:v>2</x:v>
      </x:c>
      <x:c r="J19" s="22" t="n">
        <x:v>2</x:v>
      </x:c>
      <x:c r="K19" s="22" t="n">
        <x:v>0</x:v>
      </x:c>
      <x:c r="L19" s="22" t="n">
        <x:v>2</x:v>
      </x:c>
      <x:c r="M19" s="22" t="n">
        <x:v>2</x:v>
      </x:c>
      <x:c r="N19" s="22" t="n">
        <x:v>0</x:v>
      </x:c>
      <x:c r="O19" s="22" t="n">
        <x:v>0</x:v>
      </x:c>
      <x:c r="P19" s="22" t="n">
        <x:v>1</x:v>
      </x:c>
      <x:c r="Q19" s="23" t="n">
        <x:v>0</x:v>
      </x:c>
      <x:c r="R19" s="22" t="n">
        <x:v>0</x:v>
      </x:c>
      <x:c r="S19" s="22" t="n">
        <x:v>1</x:v>
      </x:c>
      <x:c r="T19" s="23" t="n">
        <x:v>0</x:v>
      </x:c>
      <x:c r="U19" s="22" t="n">
        <x:v>0</x:v>
      </x:c>
      <x:c r="V19" s="22" t="n">
        <x:v>0</x:v>
      </x:c>
      <x:c r="W19" s="22" t="n">
        <x:v>0</x:v>
      </x:c>
      <x:c r="X19" s="22" t="str">
        <x:v>MISSING_CITATION</x:v>
      </x:c>
      <x:c r="Y19" s="22" t="str">
        <x:v>MISSING_CITATION</x:v>
      </x:c>
      <x:c r="Z19" s="22" t="str"/>
      <x:c r="AA19" s="22" t="str"/>
      <x:c r="AB19" s="22" t="str">
        <x:v>MISSING_CITATION</x:v>
      </x:c>
      <x:c r="AC19" s="22" t="str">
        <x:v>MISSING_CITATION</x:v>
      </x:c>
      <x:c r="AD19" s="22" t="str">
        <x:v>uncertain</x:v>
      </x:c>
      <x:c r="AE19" s="22" t="n">
        <x:v>5</x:v>
      </x:c>
      <x:c r="AF19" s="22" t="n">
        <x:v>5</x:v>
      </x:c>
      <x:c r="AG19" s="24" t="n">
        <x:v>19.098881900077686</x:v>
      </x:c>
      <x:c r="AH19" s="24" t="n">
        <x:v>18.857194599928334</x:v>
      </x:c>
      <x:c r="AI19" s="26" t="str"/>
      <x:c r="AJ19" s="26" t="str"/>
      <x:c r="AK19" s="26" t="str"/>
      <x:c r="AL19" s="26" t="str"/>
      <x:c r="AM19" s="26" t="str"/>
      <x:c r="AN19" s="26" t="str"/>
      <x:c r="AO19" s="26" t="str"/>
    </x:row>
    <x:row r="20">
      <x:c r="A20" s="22" t="str">
        <x:v>PROV-006</x:v>
      </x:c>
      <x:c r="B20" s="22" t="str">
        <x:v>给住在清华学生社区的同学寄快递时，邮寄地址和邮编在哪里查？</x:v>
      </x:c>
      <x:c r="C20" s="22" t="str">
        <x:v>PROVISIONAL_EVAL</x:v>
      </x:c>
      <x:c r="D20" s="22" t="str">
        <x:v>住宿服务</x:v>
      </x:c>
      <x:c r="E20" s="22" t="str">
        <x:v>PROV0-STGPUB-0012-0001 | PROV0-STGPUB-0152-0003 | PROV0-STGPUB-0152-0000 | PROV0-STGPUB-0152-0002 | PROV0-STGPUB-0067-0000</x:v>
      </x:c>
      <x:c r="F20" s="22" t="str">
        <x:v>STGPUB-0012 | STGPUB-0152 | STGPUB-0152 | STGPUB-0152 | STGPUB-0067</x:v>
      </x:c>
      <x:c r="G20" s="22" t="str">
        <x:v>请查看清华档案馆官网或学生职业发展指导中心网站，查询邮寄地址和邮编。</x:v>
      </x:c>
      <x:c r="H20" s="22" t="str">
        <x:v>紫荆公寓中文地址：100084，北京市海淀区清华大学，紫荆学生公寓×#楼×××房间；寄信人地址、姓名。
紫荆公寓英文地址：寄信人地址、姓名，Name，Zijing Building x# Room xxx(A;B)，Tsinghua University，Beijing 100084，P.R CHINA。
南区公寓中文地址：100084，北京市海淀区清华大学，学生公寓×#楼×××房间；寄信人地址、姓名。
南区公寓英文地址：寄信人地址，姓名</x:v>
      </x:c>
      <x:c r="I20" s="22" t="n">
        <x:v>2</x:v>
      </x:c>
      <x:c r="J20" s="22" t="n">
        <x:v>2</x:v>
      </x:c>
      <x:c r="K20" s="22" t="n">
        <x:v>0</x:v>
      </x:c>
      <x:c r="L20" s="22" t="n">
        <x:v>2</x:v>
      </x:c>
      <x:c r="M20" s="22" t="n">
        <x:v>2</x:v>
      </x:c>
      <x:c r="N20" s="22" t="n">
        <x:v>0</x:v>
      </x:c>
      <x:c r="O20" s="22" t="n">
        <x:v>0</x:v>
      </x:c>
      <x:c r="P20" s="22" t="n">
        <x:v>5</x:v>
      </x:c>
      <x:c r="Q20" s="23" t="n">
        <x:v>0</x:v>
      </x:c>
      <x:c r="R20" s="22" t="n">
        <x:v>0</x:v>
      </x:c>
      <x:c r="S20" s="22" t="n">
        <x:v>5</x:v>
      </x:c>
      <x:c r="T20" s="23" t="n">
        <x:v>0</x:v>
      </x:c>
      <x:c r="U20" s="22" t="n">
        <x:v>0</x:v>
      </x:c>
      <x:c r="V20" s="22" t="n">
        <x:v>0</x:v>
      </x:c>
      <x:c r="W20" s="22" t="n">
        <x:v>0</x:v>
      </x:c>
      <x:c r="X20" s="22" t="str">
        <x:v>MISSING_CITATION</x:v>
      </x:c>
      <x:c r="Y20" s="22" t="str">
        <x:v>MISSING_CITATION</x:v>
      </x:c>
      <x:c r="Z20" s="22" t="str"/>
      <x:c r="AA20" s="22" t="str"/>
      <x:c r="AB20" s="22" t="str">
        <x:v>MISSING_CITATION</x:v>
      </x:c>
      <x:c r="AC20" s="22" t="str">
        <x:v>MISSING_CITATION</x:v>
      </x:c>
      <x:c r="AD20" s="22" t="str">
        <x:v>uncertain</x:v>
      </x:c>
      <x:c r="AE20" s="22" t="n">
        <x:v>5</x:v>
      </x:c>
      <x:c r="AF20" s="22" t="n">
        <x:v>5</x:v>
      </x:c>
      <x:c r="AG20" s="24" t="n">
        <x:v>18.900236999965273</x:v>
      </x:c>
      <x:c r="AH20" s="24" t="n">
        <x:v>23.897358900052495</x:v>
      </x:c>
      <x:c r="AI20" s="26" t="str"/>
      <x:c r="AJ20" s="26" t="str"/>
      <x:c r="AK20" s="26" t="str"/>
      <x:c r="AL20" s="26" t="str"/>
      <x:c r="AM20" s="26" t="str"/>
      <x:c r="AN20" s="26" t="str"/>
      <x:c r="AO20" s="26" t="str"/>
    </x:row>
    <x:row r="21">
      <x:c r="A21" s="22" t="str">
        <x:v>PROV-007</x:v>
      </x:c>
      <x:c r="B21" s="22" t="str">
        <x:v>负责清华校内食堂和餐饮保障的是哪个饮食服务部门？</x:v>
      </x:c>
      <x:c r="C21" s="22" t="str">
        <x:v>PROVISIONAL_EVAL</x:v>
      </x:c>
      <x:c r="D21" s="22" t="str">
        <x:v>餐饮服务</x:v>
      </x:c>
      <x:c r="E21" s="22" t="str">
        <x:v>PROV0-STGPUB-0079-0000 | PROV0-STGPUB-0227-0001 | PROV0-STGPUB-0074-0000 | PROV0-STGPUB-0074-0001 | PROV0-STGPUB-0071-0000</x:v>
      </x:c>
      <x:c r="F21" s="22" t="str">
        <x:v>STGPUB-0079 | STGPUB-0227 | STGPUB-0074 | STGPUB-0074 | STGPUB-0071</x:v>
      </x:c>
      <x:c r="G21" s="22" t="str">
        <x:v>饮食服务中心</x:v>
      </x:c>
      <x:c r="H21" s="22" t="str">
        <x:v>负责清华校内食堂和餐饮保障的是饮食服务中心。</x:v>
      </x:c>
      <x:c r="I21" s="22" t="n">
        <x:v>2</x:v>
      </x:c>
      <x:c r="J21" s="22" t="n">
        <x:v>2</x:v>
      </x:c>
      <x:c r="K21" s="22" t="n">
        <x:v>0</x:v>
      </x:c>
      <x:c r="L21" s="22" t="n">
        <x:v>2</x:v>
      </x:c>
      <x:c r="M21" s="22" t="n">
        <x:v>2</x:v>
      </x:c>
      <x:c r="N21" s="22" t="n">
        <x:v>0</x:v>
      </x:c>
      <x:c r="O21" s="22" t="n">
        <x:v>0</x:v>
      </x:c>
      <x:c r="P21" s="22" t="n">
        <x:v>1</x:v>
      </x:c>
      <x:c r="Q21" s="23" t="n">
        <x:v>0</x:v>
      </x:c>
      <x:c r="R21" s="22" t="n">
        <x:v>0</x:v>
      </x:c>
      <x:c r="S21" s="22" t="n">
        <x:v>1</x:v>
      </x:c>
      <x:c r="T21" s="23" t="n">
        <x:v>0</x:v>
      </x:c>
      <x:c r="U21" s="22" t="n">
        <x:v>0</x:v>
      </x:c>
      <x:c r="V21" s="22" t="n">
        <x:v>0</x:v>
      </x:c>
      <x:c r="W21" s="22" t="n">
        <x:v>0</x:v>
      </x:c>
      <x:c r="X21" s="22" t="str">
        <x:v>MISSING_CITATION</x:v>
      </x:c>
      <x:c r="Y21" s="22" t="str">
        <x:v>MISSING_CITATION</x:v>
      </x:c>
      <x:c r="Z21" s="22" t="str"/>
      <x:c r="AA21" s="22" t="str"/>
      <x:c r="AB21" s="22" t="str">
        <x:v>MISSING_CITATION</x:v>
      </x:c>
      <x:c r="AC21" s="22" t="str">
        <x:v>MISSING_CITATION</x:v>
      </x:c>
      <x:c r="AD21" s="22" t="str">
        <x:v>uncertain</x:v>
      </x:c>
      <x:c r="AE21" s="22" t="n">
        <x:v>5</x:v>
      </x:c>
      <x:c r="AF21" s="22" t="n">
        <x:v>5</x:v>
      </x:c>
      <x:c r="AG21" s="24" t="n">
        <x:v>16.615496500045992</x:v>
      </x:c>
      <x:c r="AH21" s="24" t="n">
        <x:v>17.164081200025976</x:v>
      </x:c>
      <x:c r="AI21" s="26" t="str"/>
      <x:c r="AJ21" s="26" t="str"/>
      <x:c r="AK21" s="26" t="str"/>
      <x:c r="AL21" s="26" t="str"/>
      <x:c r="AM21" s="26" t="str"/>
      <x:c r="AN21" s="26" t="str"/>
      <x:c r="AO21" s="26" t="str"/>
    </x:row>
    <x:row r="22">
      <x:c r="A22" s="22" t="str">
        <x:v>PROV-008</x:v>
      </x:c>
      <x:c r="B22" s="22" t="str">
        <x:v>教职工想查询校内教工餐厅信息，应查看哪份校园服务资料？</x:v>
      </x:c>
      <x:c r="C22" s="22" t="str">
        <x:v>PROVISIONAL_EVAL</x:v>
      </x:c>
      <x:c r="D22" s="22" t="str">
        <x:v>餐饮服务</x:v>
      </x:c>
      <x:c r="E22" s="22" t="str">
        <x:v>PROV0-STGPUB-0108-0000 | PROV0-STGPUB-0074-0001 | PROV0-STGPUB-0155-0001 | PROV0-STGPUB-0214-0002 | PROV0-STGPUB-0104-0001</x:v>
      </x:c>
      <x:c r="F22" s="22" t="str">
        <x:v>STGPUB-0108 | STGPUB-0074 | STGPUB-0155 | STGPUB-0214 | STGPUB-0104</x:v>
      </x:c>
      <x:c r="G22" s="22" t="str">
        <x:v>教工餐厅信息应查看教工餐厅资料。</x:v>
      </x:c>
      <x:c r="H22" s="22" t="str">
        <x:v>教工餐厅信息应查看《清华大学教参服务平台》。</x:v>
      </x:c>
      <x:c r="I22" s="22" t="n">
        <x:v>2</x:v>
      </x:c>
      <x:c r="J22" s="22" t="n">
        <x:v>2</x:v>
      </x:c>
      <x:c r="K22" s="22" t="n">
        <x:v>0</x:v>
      </x:c>
      <x:c r="L22" s="22" t="n">
        <x:v>2</x:v>
      </x:c>
      <x:c r="M22" s="22" t="n">
        <x:v>2</x:v>
      </x:c>
      <x:c r="N22" s="22" t="n">
        <x:v>0</x:v>
      </x:c>
      <x:c r="O22" s="22" t="n">
        <x:v>0</x:v>
      </x:c>
      <x:c r="P22" s="22" t="n">
        <x:v>1</x:v>
      </x:c>
      <x:c r="Q22" s="23" t="n">
        <x:v>0</x:v>
      </x:c>
      <x:c r="R22" s="22" t="n">
        <x:v>0</x:v>
      </x:c>
      <x:c r="S22" s="22" t="n">
        <x:v>1</x:v>
      </x:c>
      <x:c r="T22" s="23" t="n">
        <x:v>0</x:v>
      </x:c>
      <x:c r="U22" s="22" t="n">
        <x:v>0</x:v>
      </x:c>
      <x:c r="V22" s="22" t="n">
        <x:v>0</x:v>
      </x:c>
      <x:c r="W22" s="22" t="n">
        <x:v>0</x:v>
      </x:c>
      <x:c r="X22" s="22" t="str">
        <x:v>MISSING_CITATION</x:v>
      </x:c>
      <x:c r="Y22" s="22" t="str">
        <x:v>MISSING_CITATION</x:v>
      </x:c>
      <x:c r="Z22" s="22" t="str"/>
      <x:c r="AA22" s="22" t="str"/>
      <x:c r="AB22" s="22" t="str">
        <x:v>MISSING_CITATION</x:v>
      </x:c>
      <x:c r="AC22" s="22" t="str">
        <x:v>MISSING_CITATION</x:v>
      </x:c>
      <x:c r="AD22" s="22" t="str">
        <x:v>uncertain</x:v>
      </x:c>
      <x:c r="AE22" s="22" t="n">
        <x:v>5</x:v>
      </x:c>
      <x:c r="AF22" s="22" t="n">
        <x:v>5</x:v>
      </x:c>
      <x:c r="AG22" s="24" t="n">
        <x:v>16.337459800066426</x:v>
      </x:c>
      <x:c r="AH22" s="24" t="n">
        <x:v>15.964337900048122</x:v>
      </x:c>
      <x:c r="AI22" s="26" t="str"/>
      <x:c r="AJ22" s="26" t="str"/>
      <x:c r="AK22" s="26" t="str"/>
      <x:c r="AL22" s="26" t="str"/>
      <x:c r="AM22" s="26" t="str"/>
      <x:c r="AN22" s="26" t="str"/>
      <x:c r="AO22" s="26" t="str"/>
    </x:row>
    <x:row r="23">
      <x:c r="A23" s="22" t="str">
        <x:v>PROV-009</x:v>
      </x:c>
      <x:c r="B23" s="22" t="str">
        <x:v>清华校车线路、班次和校园出入口交通指引在哪里查？</x:v>
      </x:c>
      <x:c r="C23" s="22" t="str">
        <x:v>PROVISIONAL_EVAL</x:v>
      </x:c>
      <x:c r="D23" s="22" t="str">
        <x:v>交通服务</x:v>
      </x:c>
      <x:c r="E23" s="22" t="str">
        <x:v>PROV0-STGPUB-0077-0000 | PROV0-STGPUB-0219-0000 | PROV0-STGPUB-0077-0001 | PROV0-STGPUB-0077-0002 | PROV0-STGPUB-0226-0000</x:v>
      </x:c>
      <x:c r="F23" s="22" t="str">
        <x:v>STGPUB-0077 | STGPUB-0219 | STGPUB-0077 | STGPUB-0077 | STGPUB-0226</x:v>
      </x:c>
      <x:c r="G23" s="22" t="str">
        <x:v>请查看清华接待服务中心的官方公众号或小程序，其中详细列出了校车线路、班次和校园出入口交通指引。</x:v>
      </x:c>
      <x:c r="H23" s="22" t="str">
        <x:v>清华校车线路、班次和校园出入口交通指引请参阅“清华巴士”小程序。</x:v>
      </x:c>
      <x:c r="I23" s="22" t="n">
        <x:v>2</x:v>
      </x:c>
      <x:c r="J23" s="22" t="n">
        <x:v>2</x:v>
      </x:c>
      <x:c r="K23" s="22" t="n">
        <x:v>0</x:v>
      </x:c>
      <x:c r="L23" s="22" t="n">
        <x:v>2</x:v>
      </x:c>
      <x:c r="M23" s="22" t="n">
        <x:v>2</x:v>
      </x:c>
      <x:c r="N23" s="22" t="n">
        <x:v>0</x:v>
      </x:c>
      <x:c r="O23" s="22" t="n">
        <x:v>1</x:v>
      </x:c>
      <x:c r="P23" s="22" t="n">
        <x:v>5</x:v>
      </x:c>
      <x:c r="Q23" s="23" t="n">
        <x:v>0.2</x:v>
      </x:c>
      <x:c r="R23" s="22" t="n">
        <x:v>1</x:v>
      </x:c>
      <x:c r="S23" s="22" t="n">
        <x:v>5</x:v>
      </x:c>
      <x:c r="T23" s="23" t="n">
        <x:v>0.2</x:v>
      </x:c>
      <x:c r="U23" s="22" t="n">
        <x:v>0</x:v>
      </x:c>
      <x:c r="V23" s="22" t="n">
        <x:v>0</x:v>
      </x:c>
      <x:c r="W23" s="22" t="n">
        <x:v>0</x:v>
      </x:c>
      <x:c r="X23" s="22" t="str">
        <x:v>MISSING_CITATION</x:v>
      </x:c>
      <x:c r="Y23" s="22" t="str">
        <x:v>MISSING_CITATION</x:v>
      </x:c>
      <x:c r="Z23" s="22" t="n">
        <x:v>0</x:v>
      </x:c>
      <x:c r="AA23" s="22" t="n">
        <x:v>0</x:v>
      </x:c>
      <x:c r="AB23" s="22" t="str">
        <x:v>SOURCE_QUALITY_FAILURE | GENERATION_HALLUCINATION | OVERCONFIDENT_ANSWER | MISSING_CITATION</x:v>
      </x:c>
      <x:c r="AC23" s="22" t="str">
        <x:v>SOURCE_QUALITY_FAILURE | GENERATION_HALLUCINATION | OVERCONFIDENT_ANSWER | MISSING_CITATION</x:v>
      </x:c>
      <x:c r="AD23" s="22" t="str">
        <x:v>uncertain</x:v>
      </x:c>
      <x:c r="AE23" s="22" t="n">
        <x:v>3</x:v>
      </x:c>
      <x:c r="AF23" s="22" t="n">
        <x:v>3</x:v>
      </x:c>
      <x:c r="AG23" s="24" t="n">
        <x:v>26.32306329999119</x:v>
      </x:c>
      <x:c r="AH23" s="24" t="n">
        <x:v>25.88346849998925</x:v>
      </x:c>
      <x:c r="AI23" s="26" t="str"/>
      <x:c r="AJ23" s="26" t="str"/>
      <x:c r="AK23" s="26" t="str"/>
      <x:c r="AL23" s="26" t="str"/>
      <x:c r="AM23" s="26" t="str"/>
      <x:c r="AN23" s="26" t="str"/>
      <x:c r="AO23" s="26" t="str"/>
    </x:row>
    <x:row r="24">
      <x:c r="A24" s="22" t="str">
        <x:v>PROV-010</x:v>
      </x:c>
      <x:c r="B24" s="22" t="str">
        <x:v>在清华办理生育医疗费用报销需要查看什么程序？</x:v>
      </x:c>
      <x:c r="C24" s="22" t="str">
        <x:v>PROVISIONAL_EVAL</x:v>
      </x:c>
      <x:c r="D24" s="22" t="str">
        <x:v>医疗健康</x:v>
      </x:c>
      <x:c r="E24" s="22" t="str">
        <x:v>PROV0-RESV1-0015-0001 | PROV0-RESV1-0015-0000 | PROV0-RESV1-0015-0003 | PROV0-RESV1-0015-0002 | PROV0-RESV1-0015-0004</x:v>
      </x:c>
      <x:c r="F24" s="22" t="str">
        <x:v>RESV1-0015 | RESV1-0015 | RESV1-0015 | RESV1-0015 | RESV1-0015</x:v>
      </x:c>
      <x:c r="G24" s="22" t="str">
        <x:v>在清华办理生育医疗费用报销需要查看以下程序：
1. 生育医疗报销程序 - 清华大学信息门户
2. 医保定点医院选择
3. 出示“社会保障卡”
4. 提交相关材料
5. 填写《北京市生育保险医疗费用手工报销申报表》</x:v>
      </x:c>
      <x:c r="H24" s="22" t="str">
        <x:v>在清华办理生育医疗费用报销需要查看《北京市生育保险医疗费用手工报销申报表》。</x:v>
      </x:c>
      <x:c r="I24" s="22" t="n">
        <x:v>2</x:v>
      </x:c>
      <x:c r="J24" s="22" t="n">
        <x:v>2</x:v>
      </x:c>
      <x:c r="K24" s="22" t="n">
        <x:v>0</x:v>
      </x:c>
      <x:c r="L24" s="22" t="n">
        <x:v>2</x:v>
      </x:c>
      <x:c r="M24" s="22" t="n">
        <x:v>2</x:v>
      </x:c>
      <x:c r="N24" s="22" t="n">
        <x:v>0</x:v>
      </x:c>
      <x:c r="O24" s="22" t="n">
        <x:v>0</x:v>
      </x:c>
      <x:c r="P24" s="22" t="n">
        <x:v>5</x:v>
      </x:c>
      <x:c r="Q24" s="23" t="n">
        <x:v>0</x:v>
      </x:c>
      <x:c r="R24" s="22" t="n">
        <x:v>0</x:v>
      </x:c>
      <x:c r="S24" s="22" t="n">
        <x:v>1</x:v>
      </x:c>
      <x:c r="T24" s="23" t="n">
        <x:v>0</x:v>
      </x:c>
      <x:c r="U24" s="22" t="n">
        <x:v>0</x:v>
      </x:c>
      <x:c r="V24" s="22" t="n">
        <x:v>0</x:v>
      </x:c>
      <x:c r="W24" s="22" t="n">
        <x:v>0</x:v>
      </x:c>
      <x:c r="X24" s="22" t="str">
        <x:v>MISSING_CITATION</x:v>
      </x:c>
      <x:c r="Y24" s="22" t="str">
        <x:v>MISSING_CITATION</x:v>
      </x:c>
      <x:c r="Z24" s="22" t="str"/>
      <x:c r="AA24" s="22" t="str"/>
      <x:c r="AB24" s="22" t="str">
        <x:v>MISSING_CITATION</x:v>
      </x:c>
      <x:c r="AC24" s="22" t="str">
        <x:v>MISSING_CITATION</x:v>
      </x:c>
      <x:c r="AD24" s="22" t="str">
        <x:v>uncertain</x:v>
      </x:c>
      <x:c r="AE24" s="22" t="n">
        <x:v>5</x:v>
      </x:c>
      <x:c r="AF24" s="22" t="n">
        <x:v>5</x:v>
      </x:c>
      <x:c r="AG24" s="24" t="n">
        <x:v>28.128532100003213</x:v>
      </x:c>
      <x:c r="AH24" s="24" t="n">
        <x:v>25.611641800031066</x:v>
      </x:c>
      <x:c r="AI24" s="26" t="str"/>
      <x:c r="AJ24" s="26" t="str"/>
      <x:c r="AK24" s="26" t="str"/>
      <x:c r="AL24" s="26" t="str"/>
      <x:c r="AM24" s="26" t="str"/>
      <x:c r="AN24" s="26" t="str"/>
      <x:c r="AO24" s="26" t="str"/>
    </x:row>
    <x:row r="25">
      <x:c r="A25" s="22" t="str">
        <x:v>PROV-011</x:v>
      </x:c>
      <x:c r="B25" s="22" t="str">
        <x:v>清华大学医院能否通过北京114平台预约挂号？</x:v>
      </x:c>
      <x:c r="C25" s="22" t="str">
        <x:v>PROVISIONAL_EVAL</x:v>
      </x:c>
      <x:c r="D25" s="22" t="str">
        <x:v>医疗健康</x:v>
      </x:c>
      <x:c r="E25" s="22" t="str">
        <x:v>PROV0-STGPUB-0065-0000 | PROV0-STGPUB-0085-0008 | PROV0-STGPUB-0086-0006 | PROV0-STGPUB-0089-0006 | PROV0-STGPUB-0063-0000</x:v>
      </x:c>
      <x:c r="F25" s="22" t="str">
        <x:v>STGPUB-0065 | STGPUB-0085 | STGPUB-0086 | STGPUB-0089 | STGPUB-0063</x:v>
      </x:c>
      <x:c r="G25" s="22" t="str">
        <x:v>可以，清华大学医院自2024年7月1日起与北京市114预约挂号平台实现直连。</x:v>
      </x:c>
      <x:c r="H25" s="22" t="str">
        <x:v>能，关注“北京114预约挂号”公众号，搜索“清华大学医院”可进行预约挂号。</x:v>
      </x:c>
      <x:c r="I25" s="22" t="n">
        <x:v>2</x:v>
      </x:c>
      <x:c r="J25" s="22" t="n">
        <x:v>2</x:v>
      </x:c>
      <x:c r="K25" s="22" t="n">
        <x:v>0</x:v>
      </x:c>
      <x:c r="L25" s="22" t="n">
        <x:v>2</x:v>
      </x:c>
      <x:c r="M25" s="22" t="n">
        <x:v>2</x:v>
      </x:c>
      <x:c r="N25" s="22" t="n">
        <x:v>0</x:v>
      </x:c>
      <x:c r="O25" s="22" t="n">
        <x:v>0</x:v>
      </x:c>
      <x:c r="P25" s="22" t="n">
        <x:v>1</x:v>
      </x:c>
      <x:c r="Q25" s="23" t="n">
        <x:v>0</x:v>
      </x:c>
      <x:c r="R25" s="22" t="n">
        <x:v>0</x:v>
      </x:c>
      <x:c r="S25" s="22" t="n">
        <x:v>5</x:v>
      </x:c>
      <x:c r="T25" s="23" t="n">
        <x:v>0</x:v>
      </x:c>
      <x:c r="U25" s="22" t="n">
        <x:v>0</x:v>
      </x:c>
      <x:c r="V25" s="22" t="n">
        <x:v>0</x:v>
      </x:c>
      <x:c r="W25" s="22" t="n">
        <x:v>0</x:v>
      </x:c>
      <x:c r="X25" s="22" t="str">
        <x:v>MISSING_CITATION</x:v>
      </x:c>
      <x:c r="Y25" s="22" t="str">
        <x:v>MISSING_CITATION</x:v>
      </x:c>
      <x:c r="Z25" s="22" t="str"/>
      <x:c r="AA25" s="22" t="str"/>
      <x:c r="AB25" s="22" t="str">
        <x:v>MISSING_CITATION</x:v>
      </x:c>
      <x:c r="AC25" s="22" t="str">
        <x:v>MISSING_CITATION</x:v>
      </x:c>
      <x:c r="AD25" s="22" t="str">
        <x:v>uncertain</x:v>
      </x:c>
      <x:c r="AE25" s="22" t="n">
        <x:v>5</x:v>
      </x:c>
      <x:c r="AF25" s="22" t="n">
        <x:v>5</x:v>
      </x:c>
      <x:c r="AG25" s="24" t="n">
        <x:v>17.35095019999426</x:v>
      </x:c>
      <x:c r="AH25" s="24" t="n">
        <x:v>17.38956059992779</x:v>
      </x:c>
      <x:c r="AI25" s="26" t="str"/>
      <x:c r="AJ25" s="26" t="str"/>
      <x:c r="AK25" s="26" t="str"/>
      <x:c r="AL25" s="26" t="str"/>
      <x:c r="AM25" s="26" t="str"/>
      <x:c r="AN25" s="26" t="str"/>
      <x:c r="AO25" s="26" t="str"/>
    </x:row>
    <x:row r="26">
      <x:c r="A26" s="22" t="str">
        <x:v>PROV-012</x:v>
      </x:c>
      <x:c r="B26" s="22" t="str">
        <x:v>校园网络运行和基础网络服务的信息由哪份资料说明？</x:v>
      </x:c>
      <x:c r="C26" s="22" t="str">
        <x:v>PROVISIONAL_EVAL</x:v>
      </x:c>
      <x:c r="D26" s="22" t="str">
        <x:v>网络与信息化</x:v>
      </x:c>
      <x:c r="E26" s="22" t="str">
        <x:v>PROV0-STGPUB-0104-0001 | PROV0-STGPUB-0104-0000 | PROV0-STGPUB-0104-0002 | PROV0-STGPUB-0215-0002 | PROV0-STGPUB-0096-0000</x:v>
      </x:c>
      <x:c r="F26" s="22" t="str">
        <x:v>STGPUB-0104 | STGPUB-0104 | STGPUB-0104 | STGPUB-0215 | STGPUB-0096</x:v>
      </x:c>
      <x:c r="G26" s="22" t="str">
        <x:v>校园网络运行和基础网络服务的信息由资料[C1]说明。</x:v>
      </x:c>
      <x:c r="H26" s="22" t="str">
        <x:v>校园网络运行和基础网络服务的信息由资料[C1]说明。</x:v>
      </x:c>
      <x:c r="I26" s="22" t="n">
        <x:v>2</x:v>
      </x:c>
      <x:c r="J26" s="22" t="n">
        <x:v>2</x:v>
      </x:c>
      <x:c r="K26" s="22" t="n">
        <x:v>0</x:v>
      </x:c>
      <x:c r="L26" s="22" t="n">
        <x:v>2</x:v>
      </x:c>
      <x:c r="M26" s="22" t="n">
        <x:v>2</x:v>
      </x:c>
      <x:c r="N26" s="22" t="n">
        <x:v>0</x:v>
      </x:c>
      <x:c r="O26" s="22" t="n">
        <x:v>0</x:v>
      </x:c>
      <x:c r="P26" s="22" t="n">
        <x:v>5</x:v>
      </x:c>
      <x:c r="Q26" s="23" t="n">
        <x:v>0</x:v>
      </x:c>
      <x:c r="R26" s="22" t="n">
        <x:v>0</x:v>
      </x:c>
      <x:c r="S26" s="22" t="n">
        <x:v>5</x:v>
      </x:c>
      <x:c r="T26" s="23" t="n">
        <x:v>0</x:v>
      </x:c>
      <x:c r="U26" s="22" t="n">
        <x:v>0</x:v>
      </x:c>
      <x:c r="V26" s="22" t="n">
        <x:v>0</x:v>
      </x:c>
      <x:c r="W26" s="22" t="n">
        <x:v>0</x:v>
      </x:c>
      <x:c r="X26" s="22" t="str">
        <x:v>CITATION_FORMAT_ERROR</x:v>
      </x:c>
      <x:c r="Y26" s="22" t="str">
        <x:v>CITATION_FORMAT_ERROR</x:v>
      </x:c>
      <x:c r="Z26" s="22" t="str"/>
      <x:c r="AA26" s="22" t="str"/>
      <x:c r="AB26" s="22" t="str">
        <x:v>CITATION_FORMAT_ERROR</x:v>
      </x:c>
      <x:c r="AC26" s="22" t="str">
        <x:v>CITATION_FORMAT_ERROR</x:v>
      </x:c>
      <x:c r="AD26" s="22" t="str">
        <x:v>unchanged</x:v>
      </x:c>
      <x:c r="AE26" s="22" t="n">
        <x:v>5</x:v>
      </x:c>
      <x:c r="AF26" s="22" t="n">
        <x:v>5</x:v>
      </x:c>
      <x:c r="AG26" s="24" t="n">
        <x:v>24.602194999926724</x:v>
      </x:c>
      <x:c r="AH26" s="24" t="n">
        <x:v>24.994882099912502</x:v>
      </x:c>
      <x:c r="AI26" s="26" t="str"/>
      <x:c r="AJ26" s="26" t="str"/>
      <x:c r="AK26" s="26" t="str"/>
      <x:c r="AL26" s="26" t="str"/>
      <x:c r="AM26" s="26" t="str"/>
      <x:c r="AN26" s="26" t="str"/>
      <x:c r="AO26" s="26" t="str"/>
    </x:row>
    <x:row r="27">
      <x:c r="A27" s="22" t="str">
        <x:v>PROV-013</x:v>
      </x:c>
      <x:c r="B27" s="22" t="str">
        <x:v>遇到学校信息化账号或网络使用问题时，应到哪里寻找用户服务？</x:v>
      </x:c>
      <x:c r="C27" s="22" t="str">
        <x:v>PROVISIONAL_EVAL</x:v>
      </x:c>
      <x:c r="D27" s="22" t="str">
        <x:v>网络与信息化</x:v>
      </x:c>
      <x:c r="E27" s="22" t="str">
        <x:v>PROV0-STGPUB-0106-0000 | PROV0-STGPUB-0104-0001 | PROV0-STGPUB-0068-0002 | PROV0-STGPUB-0083-0000 | PROV0-STGPUB-0152-0003</x:v>
      </x:c>
      <x:c r="F27" s="22" t="str">
        <x:v>STGPUB-0106 | STGPUB-0104 | STGPUB-0068 | STGPUB-0083 | STGPUB-0152</x:v>
      </x:c>
      <x:c r="G27" s="22" t="str">
        <x:v>遇到学校信息化账号或网络使用问题时，应到用户服务大厅寻求帮助。</x:v>
      </x:c>
      <x:c r="H27" s="22" t="str">
        <x:v>遇到学校信息化账号或网络使用问题时，应到用户服务大厅寻求帮助。</x:v>
      </x:c>
      <x:c r="I27" s="22" t="n">
        <x:v>2</x:v>
      </x:c>
      <x:c r="J27" s="22" t="n">
        <x:v>2</x:v>
      </x:c>
      <x:c r="K27" s="22" t="n">
        <x:v>0</x:v>
      </x:c>
      <x:c r="L27" s="22" t="n">
        <x:v>2</x:v>
      </x:c>
      <x:c r="M27" s="22" t="n">
        <x:v>2</x:v>
      </x:c>
      <x:c r="N27" s="22" t="n">
        <x:v>0</x:v>
      </x:c>
      <x:c r="O27" s="22" t="n">
        <x:v>0</x:v>
      </x:c>
      <x:c r="P27" s="22" t="n">
        <x:v>1</x:v>
      </x:c>
      <x:c r="Q27" s="23" t="n">
        <x:v>0</x:v>
      </x:c>
      <x:c r="R27" s="22" t="n">
        <x:v>0</x:v>
      </x:c>
      <x:c r="S27" s="22" t="n">
        <x:v>1</x:v>
      </x:c>
      <x:c r="T27" s="23" t="n">
        <x:v>0</x:v>
      </x:c>
      <x:c r="U27" s="22" t="n">
        <x:v>0</x:v>
      </x:c>
      <x:c r="V27" s="22" t="n">
        <x:v>0</x:v>
      </x:c>
      <x:c r="W27" s="22" t="n">
        <x:v>0</x:v>
      </x:c>
      <x:c r="X27" s="22" t="str">
        <x:v>MISSING_CITATION</x:v>
      </x:c>
      <x:c r="Y27" s="22" t="str">
        <x:v>MISSING_CITATION</x:v>
      </x:c>
      <x:c r="Z27" s="22" t="str"/>
      <x:c r="AA27" s="22" t="str"/>
      <x:c r="AB27" s="22" t="str">
        <x:v>MISSING_CITATION</x:v>
      </x:c>
      <x:c r="AC27" s="22" t="str">
        <x:v>MISSING_CITATION</x:v>
      </x:c>
      <x:c r="AD27" s="22" t="str">
        <x:v>unchanged</x:v>
      </x:c>
      <x:c r="AE27" s="22" t="n">
        <x:v>5</x:v>
      </x:c>
      <x:c r="AF27" s="22" t="n">
        <x:v>5</x:v>
      </x:c>
      <x:c r="AG27" s="24" t="n">
        <x:v>18.834424200002104</x:v>
      </x:c>
      <x:c r="AH27" s="24" t="n">
        <x:v>19.387028800090775</x:v>
      </x:c>
      <x:c r="AI27" s="26" t="str"/>
      <x:c r="AJ27" s="26" t="str"/>
      <x:c r="AK27" s="26" t="str"/>
      <x:c r="AL27" s="26" t="str"/>
      <x:c r="AM27" s="26" t="str"/>
      <x:c r="AN27" s="26" t="str"/>
      <x:c r="AO27" s="26" t="str"/>
    </x:row>
    <x:row r="28">
      <x:c r="A28" s="22" t="str">
        <x:v>PROV-014</x:v>
      </x:c>
      <x:c r="B28" s="22" t="str">
        <x:v>清华图书馆图书借还的规则和操作说明在哪里？</x:v>
      </x:c>
      <x:c r="C28" s="22" t="str">
        <x:v>PROVISIONAL_EVAL</x:v>
      </x:c>
      <x:c r="D28" s="22" t="str">
        <x:v>图书馆服务</x:v>
      </x:c>
      <x:c r="E28" s="22" t="str">
        <x:v>PROV0-STGPUB-0132-0000 | PROV0-STGPUB-0144-0000 | PROV0-STGPUB-0133-0000 | PROV0-STGPUB-0140-0001 | PROV0-STGPUB-0154-0001</x:v>
      </x:c>
      <x:c r="F28" s="22" t="str">
        <x:v>STGPUB-0132 | STGPUB-0144 | STGPUB-0133 | STGPUB-0140 | STGPUB-0154</x:v>
      </x:c>
      <x:c r="G28" s="22" t="str">
        <x:v>图书借还规则和操作说明在清华图书馆主页上。</x:v>
      </x:c>
      <x:c r="H28" s="22" t="str">
        <x:v>清华图书馆图书借还的规则和操作说明在《图书借还》一文中。</x:v>
      </x:c>
      <x:c r="I28" s="22" t="n">
        <x:v>2</x:v>
      </x:c>
      <x:c r="J28" s="22" t="n">
        <x:v>2</x:v>
      </x:c>
      <x:c r="K28" s="22" t="n">
        <x:v>0</x:v>
      </x:c>
      <x:c r="L28" s="22" t="n">
        <x:v>2</x:v>
      </x:c>
      <x:c r="M28" s="22" t="n">
        <x:v>2</x:v>
      </x:c>
      <x:c r="N28" s="22" t="n">
        <x:v>0</x:v>
      </x:c>
      <x:c r="O28" s="22" t="n">
        <x:v>0</x:v>
      </x:c>
      <x:c r="P28" s="22" t="n">
        <x:v>5</x:v>
      </x:c>
      <x:c r="Q28" s="23" t="n">
        <x:v>0</x:v>
      </x:c>
      <x:c r="R28" s="22" t="n">
        <x:v>0</x:v>
      </x:c>
      <x:c r="S28" s="22" t="n">
        <x:v>5</x:v>
      </x:c>
      <x:c r="T28" s="23" t="n">
        <x:v>0</x:v>
      </x:c>
      <x:c r="U28" s="22" t="n">
        <x:v>0</x:v>
      </x:c>
      <x:c r="V28" s="22" t="n">
        <x:v>0</x:v>
      </x:c>
      <x:c r="W28" s="22" t="n">
        <x:v>0</x:v>
      </x:c>
      <x:c r="X28" s="22" t="str">
        <x:v>MISSING_CITATION</x:v>
      </x:c>
      <x:c r="Y28" s="22" t="str">
        <x:v>MISSING_CITATION</x:v>
      </x:c>
      <x:c r="Z28" s="22" t="str"/>
      <x:c r="AA28" s="22" t="str"/>
      <x:c r="AB28" s="22" t="str">
        <x:v>MISSING_CITATION</x:v>
      </x:c>
      <x:c r="AC28" s="22" t="str">
        <x:v>MISSING_CITATION</x:v>
      </x:c>
      <x:c r="AD28" s="22" t="str">
        <x:v>uncertain</x:v>
      </x:c>
      <x:c r="AE28" s="22" t="n">
        <x:v>5</x:v>
      </x:c>
      <x:c r="AF28" s="22" t="n">
        <x:v>5</x:v>
      </x:c>
      <x:c r="AG28" s="24" t="n">
        <x:v>21.674979600007646</x:v>
      </x:c>
      <x:c r="AH28" s="24" t="n">
        <x:v>23.735388199915178</x:v>
      </x:c>
      <x:c r="AI28" s="26" t="str"/>
      <x:c r="AJ28" s="26" t="str"/>
      <x:c r="AK28" s="26" t="str"/>
      <x:c r="AL28" s="26" t="str"/>
      <x:c r="AM28" s="26" t="str"/>
      <x:c r="AN28" s="26" t="str"/>
      <x:c r="AO28" s="26" t="str"/>
    </x:row>
    <x:row r="29">
      <x:c r="A29" s="22" t="str">
        <x:v>PROV-015</x:v>
      </x:c>
      <x:c r="B29" s="22" t="str">
        <x:v>进入清华大学图书馆需要遵守什么入馆管理办法？</x:v>
      </x:c>
      <x:c r="C29" s="22" t="str">
        <x:v>PROVISIONAL_EVAL</x:v>
      </x:c>
      <x:c r="D29" s="22" t="str">
        <x:v>图书馆服务</x:v>
      </x:c>
      <x:c r="E29" s="22" t="str">
        <x:v>PROV0-STGPUB-0147-0000 | PROV0-STGPUB-0122-0000 | PROV0-STGPUB-0148-0000 | PROV0-STGPUB-0227-0001 | PROV0-STGPUB-0047-0000</x:v>
      </x:c>
      <x:c r="F29" s="22" t="str">
        <x:v>STGPUB-0147 | STGPUB-0122 | STGPUB-0148 | STGPUB-0227 | STGPUB-0047</x:v>
      </x:c>
      <x:c r="G29" s="22" t="str">
        <x:v>进入清华大学图书馆需要遵守以下入馆管理办法：
1. 校内读者凭本人有效图书证入馆。
2. 校外读者按规定办理手续后入馆。
3. 清华校友凭校友卡或毕业证（或复印件），附上有效身份证件，可进入校图书馆。
4. 注意防火安全，严禁在馆内吸烟。
5. 饮料需置于防溢出容器内，不可携带气味食物、外卖盒餐等入馆。
6. 保持安静，手持电话置于静音状态。
7. 衣着整齐，举止文明礼貌。
8.</x:v>
      </x:c>
      <x:c r="H29" s="22" t="str">
        <x:v>进入清华大学图书馆需要遵守以下入馆管理办法：
1. 校内读者凭本人有效图书证入馆。
2. 校外读者按规定办理手续后入馆。
3. 清华校友凭校友总会发放的“校友卡”或毕业证(或复印件),并附上本人有效身份证件,可进入校图书馆。
4. 注意防火安全，严禁在馆内任何地方吸烟。
5. 读者可携带非酒精类饮料(置于防溢出容器内)入馆，不可携带有气味食物、外卖盒餐等入馆。按照相关要求，在规定区域内食用或</x:v>
      </x:c>
      <x:c r="I29" s="22" t="n">
        <x:v>2</x:v>
      </x:c>
      <x:c r="J29" s="22" t="n">
        <x:v>2</x:v>
      </x:c>
      <x:c r="K29" s="22" t="n">
        <x:v>0</x:v>
      </x:c>
      <x:c r="L29" s="22" t="n">
        <x:v>2</x:v>
      </x:c>
      <x:c r="M29" s="22" t="n">
        <x:v>2</x:v>
      </x:c>
      <x:c r="N29" s="22" t="n">
        <x:v>0</x:v>
      </x:c>
      <x:c r="O29" s="22" t="n">
        <x:v>0</x:v>
      </x:c>
      <x:c r="P29" s="22" t="n">
        <x:v>8</x:v>
      </x:c>
      <x:c r="Q29" s="23" t="n">
        <x:v>0</x:v>
      </x:c>
      <x:c r="R29" s="22" t="n">
        <x:v>0</x:v>
      </x:c>
      <x:c r="S29" s="22" t="n">
        <x:v>5</x:v>
      </x:c>
      <x:c r="T29" s="23" t="n">
        <x:v>0</x:v>
      </x:c>
      <x:c r="U29" s="22" t="n">
        <x:v>0</x:v>
      </x:c>
      <x:c r="V29" s="22" t="n">
        <x:v>0</x:v>
      </x:c>
      <x:c r="W29" s="22" t="n">
        <x:v>0</x:v>
      </x:c>
      <x:c r="X29" s="22" t="str">
        <x:v>MISSING_CITATION</x:v>
      </x:c>
      <x:c r="Y29" s="22" t="str">
        <x:v>MISSING_CITATION</x:v>
      </x:c>
      <x:c r="Z29" s="22" t="str"/>
      <x:c r="AA29" s="22" t="str"/>
      <x:c r="AB29" s="22" t="str">
        <x:v>MISSING_CITATION</x:v>
      </x:c>
      <x:c r="AC29" s="22" t="str">
        <x:v>MISSING_CITATION</x:v>
      </x:c>
      <x:c r="AD29" s="22" t="str">
        <x:v>uncertain</x:v>
      </x:c>
      <x:c r="AE29" s="22" t="n">
        <x:v>5</x:v>
      </x:c>
      <x:c r="AF29" s="22" t="n">
        <x:v>5</x:v>
      </x:c>
      <x:c r="AG29" s="24" t="n">
        <x:v>23.16381340008229</x:v>
      </x:c>
      <x:c r="AH29" s="24" t="n">
        <x:v>25.000811100006104</x:v>
      </x:c>
      <x:c r="AI29" s="26" t="str"/>
      <x:c r="AJ29" s="26" t="str"/>
      <x:c r="AK29" s="26" t="str"/>
      <x:c r="AL29" s="26" t="str"/>
      <x:c r="AM29" s="26" t="str"/>
      <x:c r="AN29" s="26" t="str"/>
      <x:c r="AO29" s="26" t="str"/>
    </x:row>
    <x:row r="30">
      <x:c r="A30" s="22" t="str">
        <x:v>PROV-016</x:v>
      </x:c>
      <x:c r="B30" s="22" t="str">
        <x:v>清华师生如何使用馆际互借服务获取外馆文献？</x:v>
      </x:c>
      <x:c r="C30" s="22" t="str">
        <x:v>PROVISIONAL_EVAL</x:v>
      </x:c>
      <x:c r="D30" s="22" t="str">
        <x:v>图书馆服务</x:v>
      </x:c>
      <x:c r="E30" s="22" t="str">
        <x:v>PROV0-STGPUB-0158-0000 | PROV0-STGPUB-0157-0001 | PROV0-STGPUB-0152-0001 | PROV0-STGPUB-0133-0000 | PROV0-STGPUB-0188-0000</x:v>
      </x:c>
      <x:c r="F30" s="22" t="str">
        <x:v>STGPUB-0158 | STGPUB-0157 | STGPUB-0152 | STGPUB-0133 | STGPUB-0188</x:v>
      </x:c>
      <x:c r="G30" s="22" t="str">
        <x:v>清华师生可通过馆际互借服务获取外馆文献。</x:v>
      </x:c>
      <x:c r="H30" s="22" t="str">
        <x:v>根据当前资料无法确认。</x:v>
      </x:c>
      <x:c r="I30" s="22" t="n">
        <x:v>2</x:v>
      </x:c>
      <x:c r="J30" s="22" t="n">
        <x:v>0</x:v>
      </x:c>
      <x:c r="K30" s="22" t="n">
        <x:v>-2</x:v>
      </x:c>
      <x:c r="L30" s="22" t="n">
        <x:v>2</x:v>
      </x:c>
      <x:c r="M30" s="22" t="n">
        <x:v>2</x:v>
      </x:c>
      <x:c r="N30" s="22" t="n">
        <x:v>0</x:v>
      </x:c>
      <x:c r="O30" s="22" t="n">
        <x:v>0</x:v>
      </x:c>
      <x:c r="P30" s="22" t="n">
        <x:v>1</x:v>
      </x:c>
      <x:c r="Q30" s="23" t="n">
        <x:v>0</x:v>
      </x:c>
      <x:c r="R30" s="22" t="n">
        <x:v>0</x:v>
      </x:c>
      <x:c r="S30" s="22" t="n">
        <x:v>5</x:v>
      </x:c>
      <x:c r="T30" s="23" t="n">
        <x:v>0</x:v>
      </x:c>
      <x:c r="U30" s="22" t="n">
        <x:v>0</x:v>
      </x:c>
      <x:c r="V30" s="22" t="n">
        <x:v>0</x:v>
      </x:c>
      <x:c r="W30" s="22" t="n">
        <x:v>0</x:v>
      </x:c>
      <x:c r="X30" s="22" t="str">
        <x:v>MISSING_CITATION</x:v>
      </x:c>
      <x:c r="Y30" s="22" t="str">
        <x:v>NONE</x:v>
      </x:c>
      <x:c r="Z30" s="22" t="str"/>
      <x:c r="AA30" s="22" t="n">
        <x:v>0</x:v>
      </x:c>
      <x:c r="AB30" s="22" t="str">
        <x:v>MISSING_CITATION</x:v>
      </x:c>
      <x:c r="AC30" s="22" t="str">
        <x:v>NONE</x:v>
      </x:c>
      <x:c r="AD30" s="22" t="str">
        <x:v>degraded</x:v>
      </x:c>
      <x:c r="AE30" s="22" t="n">
        <x:v>5</x:v>
      </x:c>
      <x:c r="AF30" s="22" t="n">
        <x:v>2</x:v>
      </x:c>
      <x:c r="AG30" s="24" t="n">
        <x:v>11.784543499932624</x:v>
      </x:c>
      <x:c r="AH30" s="24" t="n">
        <x:v>12.594960000016727</x:v>
      </x:c>
      <x:c r="AI30" s="26" t="str"/>
      <x:c r="AJ30" s="26" t="str"/>
      <x:c r="AK30" s="26" t="str"/>
      <x:c r="AL30" s="26" t="str"/>
      <x:c r="AM30" s="26" t="str"/>
      <x:c r="AN30" s="26" t="str"/>
      <x:c r="AO30" s="26" t="str"/>
    </x:row>
    <x:row r="31">
      <x:c r="A31" s="22" t="str">
        <x:v>PROV-017</x:v>
      </x:c>
      <x:c r="B31" s="22" t="str">
        <x:v>综合体育馆的建筑面积、观众席位和赛事用途是什么？</x:v>
      </x:c>
      <x:c r="C31" s="22" t="str">
        <x:v>PROVISIONAL_EVAL</x:v>
      </x:c>
      <x:c r="D31" s="22" t="str">
        <x:v>体育与场馆</x:v>
      </x:c>
      <x:c r="E31" s="22" t="str">
        <x:v>PROV0-STGPUB-0162-0000 | PROV0-STGPUB-0159-0000 | PROV0-STGPUB-0015-0000 | PROV0-STGPUB-0161-0000 | PROV0-STGPUB-0013-0000</x:v>
      </x:c>
      <x:c r="F31" s="22" t="str">
        <x:v>STGPUB-0162 | STGPUB-0159 | STGPUB-0015 | STGPUB-0161 | STGPUB-0013</x:v>
      </x:c>
      <x:c r="G31" s="22" t="str">
        <x:v>综合体育馆总建筑面积12547.85平米，总观众席位4502个，可满足国际比赛和现场电视转播的要求。为2001年第21届世界大学生运动会男子篮球比赛场馆，2008年北京奥运会男子篮球和轮椅篮球训练场馆。</x:v>
      </x:c>
      <x:c r="H31" s="22" t="str">
        <x:v>综合体育馆的建筑面积为12547.85平米，总观众席位4502个。它主要用于2001年第21届世界大学生运动会男子篮球比赛和2008年北京奥运会男子篮球和轮椅篮球训练。</x:v>
      </x:c>
      <x:c r="I31" s="22" t="n">
        <x:v>2</x:v>
      </x:c>
      <x:c r="J31" s="22" t="n">
        <x:v>2</x:v>
      </x:c>
      <x:c r="K31" s="22" t="n">
        <x:v>0</x:v>
      </x:c>
      <x:c r="L31" s="22" t="n">
        <x:v>2</x:v>
      </x:c>
      <x:c r="M31" s="22" t="n">
        <x:v>2</x:v>
      </x:c>
      <x:c r="N31" s="22" t="n">
        <x:v>0</x:v>
      </x:c>
      <x:c r="O31" s="22" t="n">
        <x:v>0</x:v>
      </x:c>
      <x:c r="P31" s="22" t="n">
        <x:v>5</x:v>
      </x:c>
      <x:c r="Q31" s="23" t="n">
        <x:v>0</x:v>
      </x:c>
      <x:c r="R31" s="22" t="n">
        <x:v>0</x:v>
      </x:c>
      <x:c r="S31" s="22" t="n">
        <x:v>2</x:v>
      </x:c>
      <x:c r="T31" s="23" t="n">
        <x:v>0</x:v>
      </x:c>
      <x:c r="U31" s="22" t="n">
        <x:v>0</x:v>
      </x:c>
      <x:c r="V31" s="22" t="n">
        <x:v>0</x:v>
      </x:c>
      <x:c r="W31" s="22" t="n">
        <x:v>0</x:v>
      </x:c>
      <x:c r="X31" s="22" t="str">
        <x:v>MISSING_CITATION</x:v>
      </x:c>
      <x:c r="Y31" s="22" t="str">
        <x:v>MISSING_CITATION</x:v>
      </x:c>
      <x:c r="Z31" s="22" t="str"/>
      <x:c r="AA31" s="22" t="str"/>
      <x:c r="AB31" s="22" t="str">
        <x:v>MISSING_CITATION</x:v>
      </x:c>
      <x:c r="AC31" s="22" t="str">
        <x:v>MISSING_CITATION</x:v>
      </x:c>
      <x:c r="AD31" s="22" t="str">
        <x:v>uncertain</x:v>
      </x:c>
      <x:c r="AE31" s="22" t="n">
        <x:v>5</x:v>
      </x:c>
      <x:c r="AF31" s="22" t="n">
        <x:v>5</x:v>
      </x:c>
      <x:c r="AG31" s="24" t="n">
        <x:v>10.717111699981615</x:v>
      </x:c>
      <x:c r="AH31" s="24" t="n">
        <x:v>10.700096899992786</x:v>
      </x:c>
      <x:c r="AI31" s="26" t="str"/>
      <x:c r="AJ31" s="26" t="str"/>
      <x:c r="AK31" s="26" t="str"/>
      <x:c r="AL31" s="26" t="str"/>
      <x:c r="AM31" s="26" t="str"/>
      <x:c r="AN31" s="26" t="str"/>
      <x:c r="AO31" s="26" t="str"/>
    </x:row>
    <x:row r="32">
      <x:c r="A32" s="22" t="str">
        <x:v>PROV-018</x:v>
      </x:c>
      <x:c r="B32" s="22" t="str">
        <x:v>清华大学特等奖学金采用什么评选办法？</x:v>
      </x:c>
      <x:c r="C32" s="22" t="str">
        <x:v>PROVISIONAL_EVAL</x:v>
      </x:c>
      <x:c r="D32" s="22" t="str">
        <x:v>奖助与资助</x:v>
      </x:c>
      <x:c r="E32" s="22" t="str">
        <x:v>PROV0-RESV1-0016-0000 | PROV0-RESV1-0016-0001 | PROV0-STGPUB-0029-0001 | PROV0-STGPUB-0029-0002 | PROV0-STGPUB-0029-0000</x:v>
      </x:c>
      <x:c r="F32" s="22" t="str">
        <x:v>RESV1-0016 | RESV1-0016 | STGPUB-0029 | STGPUB-0029 | STGPUB-0029</x:v>
      </x:c>
      <x:c r="G32" s="22" t="str">
        <x:v>清华大学特等奖学金评选办法如下：
- 评选机构通过现场答辩形式组织复评，形成推荐名单，提请校务会议审议。
- 校务会议讨论决定特等奖学金表彰名单。
- 特等奖学金表彰名单在学校信息门户网站予以公示。</x:v>
      </x:c>
      <x:c r="H32" s="22" t="str">
        <x:v>清华大学特等奖学金评选办法如下：
1. 评选机构通过现场答辩形式组织复评，形成推荐名单，提请校务会议审议。
2. 校务会议讨论决定特等奖学金表彰名单。
3. 特等奖学金表彰名单在学校信息门户网站公示。</x:v>
      </x:c>
      <x:c r="I32" s="22" t="n">
        <x:v>2</x:v>
      </x:c>
      <x:c r="J32" s="22" t="n">
        <x:v>2</x:v>
      </x:c>
      <x:c r="K32" s="22" t="n">
        <x:v>0</x:v>
      </x:c>
      <x:c r="L32" s="22" t="n">
        <x:v>2</x:v>
      </x:c>
      <x:c r="M32" s="22" t="n">
        <x:v>2</x:v>
      </x:c>
      <x:c r="N32" s="22" t="n">
        <x:v>0</x:v>
      </x:c>
      <x:c r="O32" s="22" t="n">
        <x:v>0</x:v>
      </x:c>
      <x:c r="P32" s="22" t="n">
        <x:v>1</x:v>
      </x:c>
      <x:c r="Q32" s="23" t="n">
        <x:v>0</x:v>
      </x:c>
      <x:c r="R32" s="22" t="n">
        <x:v>0</x:v>
      </x:c>
      <x:c r="S32" s="22" t="n">
        <x:v>5</x:v>
      </x:c>
      <x:c r="T32" s="23" t="n">
        <x:v>0</x:v>
      </x:c>
      <x:c r="U32" s="22" t="n">
        <x:v>0</x:v>
      </x:c>
      <x:c r="V32" s="22" t="n">
        <x:v>0</x:v>
      </x:c>
      <x:c r="W32" s="22" t="n">
        <x:v>0</x:v>
      </x:c>
      <x:c r="X32" s="22" t="str">
        <x:v>MISSING_CITATION</x:v>
      </x:c>
      <x:c r="Y32" s="22" t="str">
        <x:v>MISSING_CITATION</x:v>
      </x:c>
      <x:c r="Z32" s="22" t="str"/>
      <x:c r="AA32" s="22" t="str"/>
      <x:c r="AB32" s="22" t="str">
        <x:v>MISSING_CITATION</x:v>
      </x:c>
      <x:c r="AC32" s="22" t="str">
        <x:v>MISSING_CITATION</x:v>
      </x:c>
      <x:c r="AD32" s="22" t="str">
        <x:v>uncertain</x:v>
      </x:c>
      <x:c r="AE32" s="22" t="n">
        <x:v>5</x:v>
      </x:c>
      <x:c r="AF32" s="22" t="n">
        <x:v>5</x:v>
      </x:c>
      <x:c r="AG32" s="24" t="n">
        <x:v>23.1977219999535</x:v>
      </x:c>
      <x:c r="AH32" s="24" t="n">
        <x:v>25.78598379995674</x:v>
      </x:c>
      <x:c r="AI32" s="26" t="str"/>
      <x:c r="AJ32" s="26" t="str"/>
      <x:c r="AK32" s="26" t="str"/>
      <x:c r="AL32" s="26" t="str"/>
      <x:c r="AM32" s="26" t="str"/>
      <x:c r="AN32" s="26" t="str"/>
      <x:c r="AO32" s="26" t="str"/>
    </x:row>
    <x:row r="33">
      <x:c r="A33" s="22" t="str">
        <x:v>PROV-019</x:v>
      </x:c>
      <x:c r="B33" s="22" t="str">
        <x:v>国家助学贷款发放后，学生应遵守哪些贷后管理规定？</x:v>
      </x:c>
      <x:c r="C33" s="22" t="str">
        <x:v>PROVISIONAL_EVAL</x:v>
      </x:c>
      <x:c r="D33" s="22" t="str">
        <x:v>奖助与资助</x:v>
      </x:c>
      <x:c r="E33" s="22" t="str">
        <x:v>PROV0-STGPUB-0028-0000 | PROV0-STGPUB-0028-0002 | PROV0-STGPUB-0028-0001 | PROV0-STGPUB-0023-0000 | PROV0-STGPUB-0024-0002</x:v>
      </x:c>
      <x:c r="F33" s="22" t="str">
        <x:v>STGPUB-0028 | STGPUB-0028 | STGPUB-0028 | STGPUB-0023 | STGPUB-0024</x:v>
      </x:c>
      <x:c r="G33" s="22" t="str">
        <x:v>根据当前资料，国家助学贷款发放后应遵守以下贷后管理规定：
1. 做好贷款学生信息建档工作。
2. 做好诚信教育工作。
3. 贷款学生在校期间有下列行为的，学校将通知经办银行停止发放助学贷款，并要求一次性偿还贷款本息：
   - 未按合同规定的用途使用贷款；
   - 违法乱纪行为受到学校纪律处分或有关部门刑事处罚；
   - 中途辍学、退学、转学、被学校开除或取消学籍；
   - 学习不刻苦</x:v>
      </x:c>
      <x:c r="H33" s="22" t="str">
        <x:v>学生应遵守诚信教育、按时还款、配合催收工作等贷后管理规定。</x:v>
      </x:c>
      <x:c r="I33" s="22" t="n">
        <x:v>2</x:v>
      </x:c>
      <x:c r="J33" s="22" t="n">
        <x:v>2</x:v>
      </x:c>
      <x:c r="K33" s="22" t="n">
        <x:v>0</x:v>
      </x:c>
      <x:c r="L33" s="22" t="n">
        <x:v>2</x:v>
      </x:c>
      <x:c r="M33" s="22" t="n">
        <x:v>2</x:v>
      </x:c>
      <x:c r="N33" s="22" t="n">
        <x:v>0</x:v>
      </x:c>
      <x:c r="O33" s="22" t="n">
        <x:v>0</x:v>
      </x:c>
      <x:c r="P33" s="22" t="n">
        <x:v>5</x:v>
      </x:c>
      <x:c r="Q33" s="23" t="n">
        <x:v>0</x:v>
      </x:c>
      <x:c r="R33" s="22" t="n">
        <x:v>0</x:v>
      </x:c>
      <x:c r="S33" s="22" t="n">
        <x:v>5</x:v>
      </x:c>
      <x:c r="T33" s="23" t="n">
        <x:v>0</x:v>
      </x:c>
      <x:c r="U33" s="22" t="n">
        <x:v>0</x:v>
      </x:c>
      <x:c r="V33" s="22" t="n">
        <x:v>0</x:v>
      </x:c>
      <x:c r="W33" s="22" t="n">
        <x:v>0</x:v>
      </x:c>
      <x:c r="X33" s="22" t="str">
        <x:v>MISSING_CITATION</x:v>
      </x:c>
      <x:c r="Y33" s="22" t="str">
        <x:v>MISSING_CITATION</x:v>
      </x:c>
      <x:c r="Z33" s="22" t="str"/>
      <x:c r="AA33" s="22" t="str"/>
      <x:c r="AB33" s="22" t="str">
        <x:v>MISSING_CITATION</x:v>
      </x:c>
      <x:c r="AC33" s="22" t="str">
        <x:v>MISSING_CITATION</x:v>
      </x:c>
      <x:c r="AD33" s="22" t="str">
        <x:v>uncertain</x:v>
      </x:c>
      <x:c r="AE33" s="22" t="n">
        <x:v>5</x:v>
      </x:c>
      <x:c r="AF33" s="22" t="n">
        <x:v>5</x:v>
      </x:c>
      <x:c r="AG33" s="24" t="n">
        <x:v>26.950071599916555</x:v>
      </x:c>
      <x:c r="AH33" s="24" t="n">
        <x:v>24.159592099953443</x:v>
      </x:c>
      <x:c r="AI33" s="26" t="str"/>
      <x:c r="AJ33" s="26" t="str"/>
      <x:c r="AK33" s="26" t="str"/>
      <x:c r="AL33" s="26" t="str"/>
      <x:c r="AM33" s="26" t="str"/>
      <x:c r="AN33" s="26" t="str"/>
      <x:c r="AO33" s="26" t="str"/>
    </x:row>
    <x:row r="34">
      <x:c r="A34" s="22" t="str">
        <x:v>PROV-020</x:v>
      </x:c>
      <x:c r="B34" s="22" t="str">
        <x:v>国际学生如何区分并查询不同的签证类型？</x:v>
      </x:c>
      <x:c r="C34" s="22" t="str">
        <x:v>PROVISIONAL_EVAL</x:v>
      </x:c>
      <x:c r="D34" s="22" t="str">
        <x:v>国际事务与签证</x:v>
      </x:c>
      <x:c r="E34" s="22" t="str">
        <x:v>PROV0-STGPUB-0177-0003 | PROV0-STGPUB-0177-0001 | PROV0-STGPUB-0003-0007 | PROV0-STGPUB-0177-0002 | PROV0-STGPUB-0177-0000</x:v>
      </x:c>
      <x:c r="F34" s="22" t="str">
        <x:v>STGPUB-0177 | STGPUB-0177 | STGPUB-0003 | STGPUB-0177 | STGPUB-0177</x:v>
      </x:c>
      <x:c r="G34" s="22" t="str">
        <x:v>国际学生可查询不同签证类型如下：X1签证颁发给长期学习，需在入境后30日内申请学习类居留许可；X2签证颁发给短期学习，有效期以签证注明为准。</x:v>
      </x:c>
      <x:c r="H34" s="22" t="str">
        <x:v>国际学生可通过以下方式区分并查询不同签证类型：
1. X1签证：颁发给在中国境内长期（超过180日）学习的人员。
2. X2签证：颁发给在中国境内短期（不超过180日）学习的人员。
3. Internships/实习签证：需持就读院校在读及同意外国留学生参与校外实习证明，实习单位出具接收实习证明等相关材料，向高校所在地的公安机关出入境管理部门申请。</x:v>
      </x:c>
      <x:c r="I34" s="22" t="n">
        <x:v>2</x:v>
      </x:c>
      <x:c r="J34" s="22" t="n">
        <x:v>2</x:v>
      </x:c>
      <x:c r="K34" s="22" t="n">
        <x:v>0</x:v>
      </x:c>
      <x:c r="L34" s="22" t="n">
        <x:v>2</x:v>
      </x:c>
      <x:c r="M34" s="22" t="n">
        <x:v>2</x:v>
      </x:c>
      <x:c r="N34" s="22" t="n">
        <x:v>0</x:v>
      </x:c>
      <x:c r="O34" s="22" t="n">
        <x:v>0</x:v>
      </x:c>
      <x:c r="P34" s="22" t="n">
        <x:v>5</x:v>
      </x:c>
      <x:c r="Q34" s="23" t="n">
        <x:v>0</x:v>
      </x:c>
      <x:c r="R34" s="22" t="n">
        <x:v>0</x:v>
      </x:c>
      <x:c r="S34" s="22" t="n">
        <x:v>5</x:v>
      </x:c>
      <x:c r="T34" s="23" t="n">
        <x:v>0</x:v>
      </x:c>
      <x:c r="U34" s="22" t="n">
        <x:v>0</x:v>
      </x:c>
      <x:c r="V34" s="22" t="n">
        <x:v>0</x:v>
      </x:c>
      <x:c r="W34" s="22" t="n">
        <x:v>0</x:v>
      </x:c>
      <x:c r="X34" s="22" t="str">
        <x:v>MISSING_CITATION</x:v>
      </x:c>
      <x:c r="Y34" s="22" t="str">
        <x:v>MISSING_CITATION</x:v>
      </x:c>
      <x:c r="Z34" s="22" t="str"/>
      <x:c r="AA34" s="22" t="str"/>
      <x:c r="AB34" s="22" t="str">
        <x:v>MISSING_CITATION</x:v>
      </x:c>
      <x:c r="AC34" s="22" t="str">
        <x:v>MISSING_CITATION</x:v>
      </x:c>
      <x:c r="AD34" s="22" t="str">
        <x:v>uncertain</x:v>
      </x:c>
      <x:c r="AE34" s="22" t="n">
        <x:v>5</x:v>
      </x:c>
      <x:c r="AF34" s="22" t="n">
        <x:v>5</x:v>
      </x:c>
      <x:c r="AG34" s="24" t="n">
        <x:v>12.52180230000522</x:v>
      </x:c>
      <x:c r="AH34" s="24" t="n">
        <x:v>15.300398699939251</x:v>
      </x:c>
      <x:c r="AI34" s="26" t="str"/>
      <x:c r="AJ34" s="26" t="str"/>
      <x:c r="AK34" s="26" t="str"/>
      <x:c r="AL34" s="26" t="str"/>
      <x:c r="AM34" s="26" t="str"/>
      <x:c r="AN34" s="26" t="str"/>
      <x:c r="AO34" s="26" t="str"/>
    </x:row>
    <x:row r="35">
      <x:c r="A35" s="22" t="str">
        <x:v>PROV-021</x:v>
      </x:c>
      <x:c r="B35" s="22" t="str">
        <x:v>国际学生选择校外住宿时应查看什么住宿指南？</x:v>
      </x:c>
      <x:c r="C35" s="22" t="str">
        <x:v>PROVISIONAL_EVAL</x:v>
      </x:c>
      <x:c r="D35" s="22" t="str">
        <x:v>国际事务与签证</x:v>
      </x:c>
      <x:c r="E35" s="22" t="str">
        <x:v>PROV0-STGPUB-0170-0007 | PROV0-STGPUB-0003-0002 | PROV0-STGPUB-0003-0009 | PROV0-STGPUB-0003-0004 | PROV0-STGPUB-0003-0007</x:v>
      </x:c>
      <x:c r="F35" s="22" t="str">
        <x:v>STGPUB-0170 | STGPUB-0003 | STGPUB-0003 | STGPUB-0003 | STGPUB-0003</x:v>
      </x:c>
      <x:c r="G35" s="22" t="str">
        <x:v>根据当前资料无法确认。</x:v>
      </x:c>
      <x:c r="H35" s="22" t="str">
        <x:v>国际学生选择校外住宿时应查看《2026国际学生住宿指南》。</x:v>
      </x:c>
      <x:c r="I35" s="22" t="n">
        <x:v>2</x:v>
      </x:c>
      <x:c r="J35" s="22" t="n">
        <x:v>2</x:v>
      </x:c>
      <x:c r="K35" s="22" t="n">
        <x:v>0</x:v>
      </x:c>
      <x:c r="L35" s="22" t="n">
        <x:v>2</x:v>
      </x:c>
      <x:c r="M35" s="22" t="n">
        <x:v>2</x:v>
      </x:c>
      <x:c r="N35" s="22" t="n">
        <x:v>0</x:v>
      </x:c>
      <x:c r="O35" s="22" t="n">
        <x:v>0</x:v>
      </x:c>
      <x:c r="P35" s="22" t="n">
        <x:v>0</x:v>
      </x:c>
      <x:c r="Q35" s="23" t="n">
        <x:v>0</x:v>
      </x:c>
      <x:c r="R35" s="22" t="n">
        <x:v>1</x:v>
      </x:c>
      <x:c r="S35" s="22" t="n">
        <x:v>1</x:v>
      </x:c>
      <x:c r="T35" s="23" t="n">
        <x:v>1</x:v>
      </x:c>
      <x:c r="U35" s="22" t="n">
        <x:v>1</x:v>
      </x:c>
      <x:c r="V35" s="22" t="n">
        <x:v>0</x:v>
      </x:c>
      <x:c r="W35" s="22" t="n">
        <x:v>-1</x:v>
      </x:c>
      <x:c r="X35" s="22" t="str">
        <x:v>NONE</x:v>
      </x:c>
      <x:c r="Y35" s="22" t="str">
        <x:v>MISSING_CITATION</x:v>
      </x:c>
      <x:c r="Z35" s="22" t="n">
        <x:v>1</x:v>
      </x:c>
      <x:c r="AA35" s="22" t="n">
        <x:v>0</x:v>
      </x:c>
      <x:c r="AB35" s="22" t="str">
        <x:v>RETRIEVAL_FAILURE</x:v>
      </x:c>
      <x:c r="AC35" s="22" t="str">
        <x:v>RETRIEVAL_FAILURE | GENERATION_HALLUCINATION | OVERCONFIDENT_ANSWER | MISSING_CITATION</x:v>
      </x:c>
      <x:c r="AD35" s="22" t="str">
        <x:v>degraded</x:v>
      </x:c>
      <x:c r="AE35" s="22" t="n">
        <x:v>7</x:v>
      </x:c>
      <x:c r="AF35" s="22" t="n">
        <x:v>3</x:v>
      </x:c>
      <x:c r="AG35" s="24" t="n">
        <x:v>12.956234200042672</x:v>
      </x:c>
      <x:c r="AH35" s="24" t="n">
        <x:v>14.464238499989733</x:v>
      </x:c>
      <x:c r="AI35" s="26" t="str"/>
      <x:c r="AJ35" s="26" t="str"/>
      <x:c r="AK35" s="26" t="str"/>
      <x:c r="AL35" s="26" t="str"/>
      <x:c r="AM35" s="26" t="str"/>
      <x:c r="AN35" s="26" t="str"/>
      <x:c r="AO35" s="26" t="str"/>
    </x:row>
    <x:row r="36">
      <x:c r="A36" s="22" t="str">
        <x:v>PROV-022</x:v>
      </x:c>
      <x:c r="B36" s="22" t="str">
        <x:v>学生职业发展指导中心面向学生提供哪些就业服务？</x:v>
      </x:c>
      <x:c r="C36" s="22" t="str">
        <x:v>PROVISIONAL_EVAL</x:v>
      </x:c>
      <x:c r="D36" s="22" t="str">
        <x:v>就业与职业发展</x:v>
      </x:c>
      <x:c r="E36" s="22" t="str">
        <x:v>PROV0-STGPUB-0005-0000 | PROV0-STGPUB-0011-0004 | PROV0-STGPUB-0011-0002 | PROV0-STGPUB-0181-0002 | PROV0-STGPUB-0181-0003</x:v>
      </x:c>
      <x:c r="F36" s="22" t="str">
        <x:v>STGPUB-0005 | STGPUB-0011 | STGPUB-0011 | STGPUB-0181 | STGPUB-0181</x:v>
      </x:c>
      <x:c r="G36" s="22" t="str">
        <x:v>学生职业发展指导中心提供生涯咨询、专项辅导、朋辈辅导、求职技巧实训等就业服务。</x:v>
      </x:c>
      <x:c r="H36" s="22" t="str">
        <x:v>学生职业发展指导中心提供生涯咨询、专项辅导、朋辈辅导、求职技巧实训等就业服务。</x:v>
      </x:c>
      <x:c r="I36" s="22" t="n">
        <x:v>2</x:v>
      </x:c>
      <x:c r="J36" s="22" t="n">
        <x:v>2</x:v>
      </x:c>
      <x:c r="K36" s="22" t="n">
        <x:v>0</x:v>
      </x:c>
      <x:c r="L36" s="22" t="n">
        <x:v>2</x:v>
      </x:c>
      <x:c r="M36" s="22" t="n">
        <x:v>2</x:v>
      </x:c>
      <x:c r="N36" s="22" t="n">
        <x:v>0</x:v>
      </x:c>
      <x:c r="O36" s="22" t="n">
        <x:v>1</x:v>
      </x:c>
      <x:c r="P36" s="22" t="n">
        <x:v>5</x:v>
      </x:c>
      <x:c r="Q36" s="23" t="n">
        <x:v>0.2</x:v>
      </x:c>
      <x:c r="R36" s="22" t="n">
        <x:v>1</x:v>
      </x:c>
      <x:c r="S36" s="22" t="n">
        <x:v>5</x:v>
      </x:c>
      <x:c r="T36" s="23" t="n">
        <x:v>0.2</x:v>
      </x:c>
      <x:c r="U36" s="22" t="n">
        <x:v>0</x:v>
      </x:c>
      <x:c r="V36" s="22" t="n">
        <x:v>0</x:v>
      </x:c>
      <x:c r="W36" s="22" t="n">
        <x:v>0</x:v>
      </x:c>
      <x:c r="X36" s="22" t="str">
        <x:v>MISSING_CITATION</x:v>
      </x:c>
      <x:c r="Y36" s="22" t="str">
        <x:v>MISSING_CITATION</x:v>
      </x:c>
      <x:c r="Z36" s="22" t="n">
        <x:v>0</x:v>
      </x:c>
      <x:c r="AA36" s="22" t="n">
        <x:v>0</x:v>
      </x:c>
      <x:c r="AB36" s="22" t="str">
        <x:v>RETRIEVAL_FAILURE | GENERATION_HALLUCINATION | OVERCONFIDENT_ANSWER | MISSING_CITATION</x:v>
      </x:c>
      <x:c r="AC36" s="22" t="str">
        <x:v>RETRIEVAL_FAILURE | GENERATION_HALLUCINATION | OVERCONFIDENT_ANSWER | MISSING_CITATION</x:v>
      </x:c>
      <x:c r="AD36" s="22" t="str">
        <x:v>unchanged</x:v>
      </x:c>
      <x:c r="AE36" s="22" t="n">
        <x:v>3</x:v>
      </x:c>
      <x:c r="AF36" s="22" t="n">
        <x:v>3</x:v>
      </x:c>
      <x:c r="AG36" s="24" t="n">
        <x:v>21.304302400094457</x:v>
      </x:c>
      <x:c r="AH36" s="24" t="n">
        <x:v>23.540748000028543</x:v>
      </x:c>
      <x:c r="AI36" s="26" t="str"/>
      <x:c r="AJ36" s="26" t="str"/>
      <x:c r="AK36" s="26" t="str"/>
      <x:c r="AL36" s="26" t="str"/>
      <x:c r="AM36" s="26" t="str"/>
      <x:c r="AN36" s="26" t="str"/>
      <x:c r="AO36" s="26" t="str"/>
    </x:row>
    <x:row r="37">
      <x:c r="A37" s="22" t="str">
        <x:v>PROV-023</x:v>
      </x:c>
      <x:c r="B37" s="22" t="str">
        <x:v>学生想进行一对一生涯咨询、简历修改或模拟面试，可以找什么服务？</x:v>
      </x:c>
      <x:c r="C37" s="22" t="str">
        <x:v>PROVISIONAL_EVAL</x:v>
      </x:c>
      <x:c r="D37" s="22" t="str">
        <x:v>就业与职业发展</x:v>
      </x:c>
      <x:c r="E37" s="22" t="str">
        <x:v>PROV0-STGPUB-0005-0000 | PROV0-STGPUB-0005-0006 | PROV0-STGPUB-0005-0005 | PROV0-STGPUB-0005-0002 | PROV0-STGPUB-0011-0002</x:v>
      </x:c>
      <x:c r="F37" s="22" t="str">
        <x:v>STGPUB-0005 | STGPUB-0005 | STGPUB-0005 | STGPUB-0005 | STGPUB-0011</x:v>
      </x:c>
      <x:c r="G37" s="22" t="str">
        <x:v>可以找以下服务：
- **生涯咨询**：李锋亮、马昱春、王大亮
- **简历修改**：朱李婧、陈旭东、董亮、赵梦圆
- **模拟面试**：张杨、关麟凤、俞婷君</x:v>
      </x:c>
      <x:c r="H37" s="22" t="str">
        <x:v>可以找以下服务：
- 一对一生涯咨询：李锋亮、马昱春、王大亮
- 简历修改：朱李婧、陈旭东、董亮、赵梦圆
- 模拟面试：张杨、关麟凤、俞婷君</x:v>
      </x:c>
      <x:c r="I37" s="22" t="n">
        <x:v>2</x:v>
      </x:c>
      <x:c r="J37" s="22" t="n">
        <x:v>2</x:v>
      </x:c>
      <x:c r="K37" s="22" t="n">
        <x:v>0</x:v>
      </x:c>
      <x:c r="L37" s="22" t="n">
        <x:v>2</x:v>
      </x:c>
      <x:c r="M37" s="22" t="n">
        <x:v>2</x:v>
      </x:c>
      <x:c r="N37" s="22" t="n">
        <x:v>0</x:v>
      </x:c>
      <x:c r="O37" s="22" t="n">
        <x:v>0</x:v>
      </x:c>
      <x:c r="P37" s="22" t="n">
        <x:v>5</x:v>
      </x:c>
      <x:c r="Q37" s="23" t="n">
        <x:v>0</x:v>
      </x:c>
      <x:c r="R37" s="22" t="n">
        <x:v>0</x:v>
      </x:c>
      <x:c r="S37" s="22" t="n">
        <x:v>5</x:v>
      </x:c>
      <x:c r="T37" s="23" t="n">
        <x:v>0</x:v>
      </x:c>
      <x:c r="U37" s="22" t="n">
        <x:v>0</x:v>
      </x:c>
      <x:c r="V37" s="22" t="n">
        <x:v>0</x:v>
      </x:c>
      <x:c r="W37" s="22" t="n">
        <x:v>0</x:v>
      </x:c>
      <x:c r="X37" s="22" t="str">
        <x:v>MISSING_CITATION</x:v>
      </x:c>
      <x:c r="Y37" s="22" t="str">
        <x:v>MISSING_CITATION</x:v>
      </x:c>
      <x:c r="Z37" s="22" t="str"/>
      <x:c r="AA37" s="22" t="str"/>
      <x:c r="AB37" s="22" t="str">
        <x:v>MISSING_CITATION</x:v>
      </x:c>
      <x:c r="AC37" s="22" t="str">
        <x:v>MISSING_CITATION</x:v>
      </x:c>
      <x:c r="AD37" s="22" t="str">
        <x:v>uncertain</x:v>
      </x:c>
      <x:c r="AE37" s="22" t="n">
        <x:v>5</x:v>
      </x:c>
      <x:c r="AF37" s="22" t="n">
        <x:v>5</x:v>
      </x:c>
      <x:c r="AG37" s="24" t="n">
        <x:v>20.004943900043145</x:v>
      </x:c>
      <x:c r="AH37" s="24" t="n">
        <x:v>22.110465499921702</x:v>
      </x:c>
      <x:c r="AI37" s="26" t="str"/>
      <x:c r="AJ37" s="26" t="str"/>
      <x:c r="AK37" s="26" t="str"/>
      <x:c r="AL37" s="26" t="str"/>
      <x:c r="AM37" s="26" t="str"/>
      <x:c r="AN37" s="26" t="str"/>
      <x:c r="AO37" s="26" t="str"/>
    </x:row>
    <x:row r="38">
      <x:c r="A38" s="22" t="str">
        <x:v>PROV-024</x:v>
      </x:c>
      <x:c r="B38" s="22" t="str">
        <x:v>清华科研仪器共享平台能否查询开放设备并预约测试？</x:v>
      </x:c>
      <x:c r="C38" s="22" t="str">
        <x:v>PROVISIONAL_EVAL</x:v>
      </x:c>
      <x:c r="D38" s="22" t="str">
        <x:v>科研参与</x:v>
      </x:c>
      <x:c r="E38" s="22" t="str">
        <x:v>PROV0-STGPUB-0196-0000 | PROV0-STGPUB-0022-0000 | PROV0-STGPUB-0141-0002 | PROV0-STGPUB-0152-0003 | PROV0-STGPUB-0141-0000</x:v>
      </x:c>
      <x:c r="F38" s="22" t="str">
        <x:v>STGPUB-0196 | STGPUB-0022 | STGPUB-0141 | STGPUB-0152 | STGPUB-0141</x:v>
      </x:c>
      <x:c r="G38" s="22" t="str">
        <x:v>可以查询开放设备并预约测试，详情请访问清华仪器共享服务平台。</x:v>
      </x:c>
      <x:c r="H38" s="22" t="str">
        <x:v>能查询开放设备并预约测试。</x:v>
      </x:c>
      <x:c r="I38" s="22" t="n">
        <x:v>2</x:v>
      </x:c>
      <x:c r="J38" s="22" t="n">
        <x:v>2</x:v>
      </x:c>
      <x:c r="K38" s="22" t="n">
        <x:v>0</x:v>
      </x:c>
      <x:c r="L38" s="22" t="n">
        <x:v>2</x:v>
      </x:c>
      <x:c r="M38" s="22" t="n">
        <x:v>2</x:v>
      </x:c>
      <x:c r="N38" s="22" t="n">
        <x:v>0</x:v>
      </x:c>
      <x:c r="O38" s="22" t="n">
        <x:v>0</x:v>
      </x:c>
      <x:c r="P38" s="22" t="n">
        <x:v>1</x:v>
      </x:c>
      <x:c r="Q38" s="23" t="n">
        <x:v>0</x:v>
      </x:c>
      <x:c r="R38" s="22" t="n">
        <x:v>0</x:v>
      </x:c>
      <x:c r="S38" s="22" t="n">
        <x:v>1</x:v>
      </x:c>
      <x:c r="T38" s="23" t="n">
        <x:v>0</x:v>
      </x:c>
      <x:c r="U38" s="22" t="n">
        <x:v>0</x:v>
      </x:c>
      <x:c r="V38" s="22" t="n">
        <x:v>0</x:v>
      </x:c>
      <x:c r="W38" s="22" t="n">
        <x:v>0</x:v>
      </x:c>
      <x:c r="X38" s="22" t="str">
        <x:v>MISSING_CITATION</x:v>
      </x:c>
      <x:c r="Y38" s="22" t="str">
        <x:v>MISSING_CITATION</x:v>
      </x:c>
      <x:c r="Z38" s="22" t="str"/>
      <x:c r="AA38" s="22" t="str"/>
      <x:c r="AB38" s="22" t="str">
        <x:v>MISSING_CITATION</x:v>
      </x:c>
      <x:c r="AC38" s="22" t="str">
        <x:v>MISSING_CITATION</x:v>
      </x:c>
      <x:c r="AD38" s="22" t="str">
        <x:v>uncertain</x:v>
      </x:c>
      <x:c r="AE38" s="22" t="n">
        <x:v>5</x:v>
      </x:c>
      <x:c r="AF38" s="22" t="n">
        <x:v>5</x:v>
      </x:c>
      <x:c r="AG38" s="24" t="n">
        <x:v>16.727573600015603</x:v>
      </x:c>
      <x:c r="AH38" s="24" t="n">
        <x:v>17.62527489999775</x:v>
      </x:c>
      <x:c r="AI38" s="26" t="str"/>
      <x:c r="AJ38" s="26" t="str"/>
      <x:c r="AK38" s="26" t="str"/>
      <x:c r="AL38" s="26" t="str"/>
      <x:c r="AM38" s="26" t="str"/>
      <x:c r="AN38" s="26" t="str"/>
      <x:c r="AO38" s="26" t="str"/>
    </x:row>
    <x:row r="39">
      <x:c r="A39" s="22" t="str">
        <x:v>PROV-025</x:v>
      </x:c>
      <x:c r="B39" s="22" t="str">
        <x:v>清华通讯作者在IEEE开放获取期刊发表论文有何APC优惠？</x:v>
      </x:c>
      <x:c r="C39" s="22" t="str">
        <x:v>PROVISIONAL_EVAL</x:v>
      </x:c>
      <x:c r="D39" s="22" t="str">
        <x:v>科研参与</x:v>
      </x:c>
      <x:c r="E39" s="22" t="str">
        <x:v>PROV0-STGPUB-0197-0000 | PROV0-STGPUB-0203-0000 | PROV0-STGPUB-0188-0000 | PROV0-STGPUB-0205-0000 | PROV0-STGPUB-0186-0000</x:v>
      </x:c>
      <x:c r="F39" s="22" t="str">
        <x:v>STGPUB-0197 | STGPUB-0203 | STGPUB-0188 | STGPUB-0205 | STGPUB-0186</x:v>
      </x:c>
      <x:c r="G39" s="22" t="str">
        <x:v>通讯作者为我校师生在IEEE金色OA期刊或混合OA期刊发表OA论文时，可获得9折费用折扣。优惠范围包括Full Open Access与Hybrid Open Access期刊。优惠时间截至2026年12月31日。</x:v>
      </x:c>
      <x:c r="H39" s="22" t="str">
        <x:v>通讯作者为清华师生在IEEE发表OA论文，可享受9折APC优惠。优惠范围包括金色OA期刊和混合OA期刊。需使用清华大学提供的邮箱地址，并将机构信息正确关联系统中的学校账号：Tsinghua University。</x:v>
      </x:c>
      <x:c r="I39" s="22" t="n">
        <x:v>2</x:v>
      </x:c>
      <x:c r="J39" s="22" t="n">
        <x:v>2</x:v>
      </x:c>
      <x:c r="K39" s="22" t="n">
        <x:v>0</x:v>
      </x:c>
      <x:c r="L39" s="22" t="n">
        <x:v>2</x:v>
      </x:c>
      <x:c r="M39" s="22" t="n">
        <x:v>2</x:v>
      </x:c>
      <x:c r="N39" s="22" t="n">
        <x:v>0</x:v>
      </x:c>
      <x:c r="O39" s="22" t="n">
        <x:v>0</x:v>
      </x:c>
      <x:c r="P39" s="22" t="n">
        <x:v>5</x:v>
      </x:c>
      <x:c r="Q39" s="23" t="n">
        <x:v>0</x:v>
      </x:c>
      <x:c r="R39" s="22" t="n">
        <x:v>0</x:v>
      </x:c>
      <x:c r="S39" s="22" t="n">
        <x:v>5</x:v>
      </x:c>
      <x:c r="T39" s="23" t="n">
        <x:v>0</x:v>
      </x:c>
      <x:c r="U39" s="22" t="n">
        <x:v>0</x:v>
      </x:c>
      <x:c r="V39" s="22" t="n">
        <x:v>0</x:v>
      </x:c>
      <x:c r="W39" s="22" t="n">
        <x:v>0</x:v>
      </x:c>
      <x:c r="X39" s="22" t="str">
        <x:v>MISSING_CITATION</x:v>
      </x:c>
      <x:c r="Y39" s="22" t="str">
        <x:v>MISSING_CITATION</x:v>
      </x:c>
      <x:c r="Z39" s="22" t="str"/>
      <x:c r="AA39" s="22" t="str"/>
      <x:c r="AB39" s="22" t="str">
        <x:v>MISSING_CITATION</x:v>
      </x:c>
      <x:c r="AC39" s="22" t="str">
        <x:v>MISSING_CITATION</x:v>
      </x:c>
      <x:c r="AD39" s="22" t="str">
        <x:v>uncertain</x:v>
      </x:c>
      <x:c r="AE39" s="22" t="n">
        <x:v>5</x:v>
      </x:c>
      <x:c r="AF39" s="22" t="n">
        <x:v>5</x:v>
      </x:c>
      <x:c r="AG39" s="24" t="n">
        <x:v>13.438215299975127</x:v>
      </x:c>
      <x:c r="AH39" s="24" t="n">
        <x:v>15.03074519999791</x:v>
      </x:c>
      <x:c r="AI39" s="26" t="str"/>
      <x:c r="AJ39" s="26" t="str"/>
      <x:c r="AK39" s="26" t="str"/>
      <x:c r="AL39" s="26" t="str"/>
      <x:c r="AM39" s="26" t="str"/>
      <x:c r="AN39" s="26" t="str"/>
      <x:c r="AO39" s="26" t="str"/>
    </x:row>
    <x:row r="40">
      <x:c r="A40" s="22" t="str">
        <x:v>PROV-026</x:v>
      </x:c>
      <x:c r="B40" s="22" t="str">
        <x:v>学校的信息化教室、录播系统和教学技术支持由什么服务负责？</x:v>
      </x:c>
      <x:c r="C40" s="22" t="str">
        <x:v>PROVISIONAL_EVAL</x:v>
      </x:c>
      <x:c r="D40" s="22" t="str">
        <x:v>教学培养</x:v>
      </x:c>
      <x:c r="E40" s="22" t="str">
        <x:v>PROV0-STGPUB-0214-0001 | PROV0-STGPUB-0214-0000 | PROV0-STGPUB-0215-0000 | PROV0-STGPUB-0083-0000 | PROV0-STGPUB-0215-0002</x:v>
      </x:c>
      <x:c r="F40" s="22" t="str">
        <x:v>STGPUB-0214 | STGPUB-0214 | STGPUB-0215 | STGPUB-0083 | STGPUB-0215</x:v>
      </x:c>
      <x:c r="G40" s="22" t="str">
        <x:v>信息化教学环境服务负责学校信息化教室、录播系统和教学技术支持。</x:v>
      </x:c>
      <x:c r="H40" s="22" t="str">
        <x:v>学校信息化教室、录播系统和教学技术支持由《现代教育技术》期刊编辑出版工作负责。</x:v>
      </x:c>
      <x:c r="I40" s="22" t="n">
        <x:v>2</x:v>
      </x:c>
      <x:c r="J40" s="22" t="n">
        <x:v>2</x:v>
      </x:c>
      <x:c r="K40" s="22" t="n">
        <x:v>0</x:v>
      </x:c>
      <x:c r="L40" s="22" t="n">
        <x:v>2</x:v>
      </x:c>
      <x:c r="M40" s="22" t="n">
        <x:v>2</x:v>
      </x:c>
      <x:c r="N40" s="22" t="n">
        <x:v>0</x:v>
      </x:c>
      <x:c r="O40" s="22" t="n">
        <x:v>0</x:v>
      </x:c>
      <x:c r="P40" s="22" t="n">
        <x:v>1</x:v>
      </x:c>
      <x:c r="Q40" s="23" t="n">
        <x:v>0</x:v>
      </x:c>
      <x:c r="R40" s="22" t="n">
        <x:v>0</x:v>
      </x:c>
      <x:c r="S40" s="22" t="n">
        <x:v>5</x:v>
      </x:c>
      <x:c r="T40" s="23" t="n">
        <x:v>0</x:v>
      </x:c>
      <x:c r="U40" s="22" t="n">
        <x:v>0</x:v>
      </x:c>
      <x:c r="V40" s="22" t="n">
        <x:v>0</x:v>
      </x:c>
      <x:c r="W40" s="22" t="n">
        <x:v>0</x:v>
      </x:c>
      <x:c r="X40" s="22" t="str">
        <x:v>MISSING_CITATION</x:v>
      </x:c>
      <x:c r="Y40" s="22" t="str">
        <x:v>MISSING_CITATION</x:v>
      </x:c>
      <x:c r="Z40" s="22" t="str"/>
      <x:c r="AA40" s="22" t="str"/>
      <x:c r="AB40" s="22" t="str">
        <x:v>MISSING_CITATION</x:v>
      </x:c>
      <x:c r="AC40" s="22" t="str">
        <x:v>MISSING_CITATION</x:v>
      </x:c>
      <x:c r="AD40" s="22" t="str">
        <x:v>uncertain</x:v>
      </x:c>
      <x:c r="AE40" s="22" t="n">
        <x:v>5</x:v>
      </x:c>
      <x:c r="AF40" s="22" t="n">
        <x:v>5</x:v>
      </x:c>
      <x:c r="AG40" s="24" t="n">
        <x:v>22.083130799932405</x:v>
      </x:c>
      <x:c r="AH40" s="24" t="n">
        <x:v>24.14068499999121</x:v>
      </x:c>
      <x:c r="AI40" s="26" t="str"/>
      <x:c r="AJ40" s="26" t="str"/>
      <x:c r="AK40" s="26" t="str"/>
      <x:c r="AL40" s="26" t="str"/>
      <x:c r="AM40" s="26" t="str"/>
      <x:c r="AN40" s="26" t="str"/>
      <x:c r="AO40" s="26" t="str"/>
    </x:row>
    <x:row r="41">
      <x:c r="A41" s="22" t="str">
        <x:v>PROV-027</x:v>
      </x:c>
      <x:c r="B41" s="22" t="str">
        <x:v>清华专业学位人才培养项目采用什么建设定位？</x:v>
      </x:c>
      <x:c r="C41" s="22" t="str">
        <x:v>PROVISIONAL_EVAL</x:v>
      </x:c>
      <x:c r="D41" s="22" t="str">
        <x:v>教学培养</x:v>
      </x:c>
      <x:c r="E41" s="22" t="str">
        <x:v>PROV0-STGPUB-0210-0000 | PROV0-STGPUB-0156-0003 | PROV0-STGPUB-0103-0000 | PROV0-STGPUB-0094-0000 | PROV0-STGPUB-0130-0001</x:v>
      </x:c>
      <x:c r="F41" s="22" t="str">
        <x:v>STGPUB-0210 | STGPUB-0156 | STGPUB-0103 | STGPUB-0094 | STGPUB-0130</x:v>
      </x:c>
      <x:c r="G41" s="22" t="str">
        <x:v>清华专业学位人才培养项目采用“高端定位、清华特色、中国视角”的建设标准。</x:v>
      </x:c>
      <x:c r="H41" s="22" t="str">
        <x:v>清华专业学位人才培养项目采用“高端定位、清华特色、中国视角”的建设定位。</x:v>
      </x:c>
      <x:c r="I41" s="22" t="n">
        <x:v>2</x:v>
      </x:c>
      <x:c r="J41" s="22" t="n">
        <x:v>2</x:v>
      </x:c>
      <x:c r="K41" s="22" t="n">
        <x:v>0</x:v>
      </x:c>
      <x:c r="L41" s="22" t="n">
        <x:v>2</x:v>
      </x:c>
      <x:c r="M41" s="22" t="n">
        <x:v>2</x:v>
      </x:c>
      <x:c r="N41" s="22" t="n">
        <x:v>0</x:v>
      </x:c>
      <x:c r="O41" s="22" t="n">
        <x:v>0</x:v>
      </x:c>
      <x:c r="P41" s="22" t="n">
        <x:v>1</x:v>
      </x:c>
      <x:c r="Q41" s="23" t="n">
        <x:v>0</x:v>
      </x:c>
      <x:c r="R41" s="22" t="n">
        <x:v>0</x:v>
      </x:c>
      <x:c r="S41" s="22" t="n">
        <x:v>1</x:v>
      </x:c>
      <x:c r="T41" s="23" t="n">
        <x:v>0</x:v>
      </x:c>
      <x:c r="U41" s="22" t="n">
        <x:v>0</x:v>
      </x:c>
      <x:c r="V41" s="22" t="n">
        <x:v>0</x:v>
      </x:c>
      <x:c r="W41" s="22" t="n">
        <x:v>0</x:v>
      </x:c>
      <x:c r="X41" s="22" t="str">
        <x:v>MISSING_CITATION</x:v>
      </x:c>
      <x:c r="Y41" s="22" t="str">
        <x:v>MISSING_CITATION</x:v>
      </x:c>
      <x:c r="Z41" s="22" t="str"/>
      <x:c r="AA41" s="22" t="str"/>
      <x:c r="AB41" s="22" t="str">
        <x:v>MISSING_CITATION</x:v>
      </x:c>
      <x:c r="AC41" s="22" t="str">
        <x:v>MISSING_CITATION</x:v>
      </x:c>
      <x:c r="AD41" s="22" t="str">
        <x:v>uncertain</x:v>
      </x:c>
      <x:c r="AE41" s="22" t="n">
        <x:v>5</x:v>
      </x:c>
      <x:c r="AF41" s="22" t="n">
        <x:v>5</x:v>
      </x:c>
      <x:c r="AG41" s="24" t="n">
        <x:v>10.405134200002067</x:v>
      </x:c>
      <x:c r="AH41" s="24" t="n">
        <x:v>11.207751699956134</x:v>
      </x:c>
      <x:c r="AI41" s="26" t="str"/>
      <x:c r="AJ41" s="26" t="str"/>
      <x:c r="AK41" s="26" t="str"/>
      <x:c r="AL41" s="26" t="str"/>
      <x:c r="AM41" s="26" t="str"/>
      <x:c r="AN41" s="26" t="str"/>
      <x:c r="AO41" s="26" t="str"/>
    </x:row>
    <x:row r="42">
      <x:c r="A42" s="22" t="str">
        <x:v>PROV-028</x:v>
      </x:c>
      <x:c r="B42" s="22" t="str">
        <x:v>如何查询清华各院系的单位号、简称和英文名称？</x:v>
      </x:c>
      <x:c r="C42" s="22" t="str">
        <x:v>PROVISIONAL_EVAL</x:v>
      </x:c>
      <x:c r="D42" s="22" t="str">
        <x:v>校园综合服务</x:v>
      </x:c>
      <x:c r="E42" s="22" t="str">
        <x:v>PROV0-RESV1-0010-0000 | PROV0-STGPUB-0152-0003 | PROV0-STGPUB-0052-0000 | PROV0-STGPUB-0152-0000 | PROV0-STGPUB-0130-0001</x:v>
      </x:c>
      <x:c r="F42" s="22" t="str">
        <x:v>RESV1-0010 | STGPUB-0152 | STGPUB-0052 | STGPUB-0152 | STGPUB-0130</x:v>
      </x:c>
      <x:c r="G42" s="22" t="str">
        <x:v>单位号：000 建筑学院 jzxy；003 土木系 tmx；004 水利系 slx；005 环境学院 hjxy；011 机械学院 jxxy；012 机械系 jxx；013 精仪系 jyx；014 能动系 ndx；015 车辆学院 clxy；016 工业工程系 gygcx；021 信息学院 xxxy。简称：建筑学院、土木工程系</x:v>
      </x:c>
      <x:c r="H42" s="22" t="str">
        <x:v>如何查询清华各院系的单位号、简称和英文名称？
1. 查看《单位编码》文档，其中列出了清华大学各个院系的单位号、简称和英文名称。
2. 通过清华大学图书馆官网的“联系我们-清华大学图书馆”页面，可以找到总馆联系方式及专业图书馆的联系信息。</x:v>
      </x:c>
      <x:c r="I42" s="22" t="n">
        <x:v>2</x:v>
      </x:c>
      <x:c r="J42" s="22" t="n">
        <x:v>2</x:v>
      </x:c>
      <x:c r="K42" s="22" t="n">
        <x:v>0</x:v>
      </x:c>
      <x:c r="L42" s="22" t="n">
        <x:v>2</x:v>
      </x:c>
      <x:c r="M42" s="22" t="n">
        <x:v>2</x:v>
      </x:c>
      <x:c r="N42" s="22" t="n">
        <x:v>0</x:v>
      </x:c>
      <x:c r="O42" s="22" t="n">
        <x:v>0</x:v>
      </x:c>
      <x:c r="P42" s="22" t="n">
        <x:v>5</x:v>
      </x:c>
      <x:c r="Q42" s="23" t="n">
        <x:v>0</x:v>
      </x:c>
      <x:c r="R42" s="22" t="n">
        <x:v>0</x:v>
      </x:c>
      <x:c r="S42" s="22" t="n">
        <x:v>5</x:v>
      </x:c>
      <x:c r="T42" s="23" t="n">
        <x:v>0</x:v>
      </x:c>
      <x:c r="U42" s="22" t="n">
        <x:v>0</x:v>
      </x:c>
      <x:c r="V42" s="22" t="n">
        <x:v>0</x:v>
      </x:c>
      <x:c r="W42" s="22" t="n">
        <x:v>0</x:v>
      </x:c>
      <x:c r="X42" s="22" t="str">
        <x:v>MISSING_CITATION</x:v>
      </x:c>
      <x:c r="Y42" s="22" t="str">
        <x:v>MISSING_CITATION</x:v>
      </x:c>
      <x:c r="Z42" s="22" t="str"/>
      <x:c r="AA42" s="22" t="str"/>
      <x:c r="AB42" s="22" t="str">
        <x:v>MISSING_CITATION</x:v>
      </x:c>
      <x:c r="AC42" s="22" t="str">
        <x:v>MISSING_CITATION</x:v>
      </x:c>
      <x:c r="AD42" s="22" t="str">
        <x:v>uncertain</x:v>
      </x:c>
      <x:c r="AE42" s="22" t="n">
        <x:v>5</x:v>
      </x:c>
      <x:c r="AF42" s="22" t="n">
        <x:v>5</x:v>
      </x:c>
      <x:c r="AG42" s="24" t="n">
        <x:v>18.838408400071785</x:v>
      </x:c>
      <x:c r="AH42" s="24" t="n">
        <x:v>17.42629890004173</x:v>
      </x:c>
      <x:c r="AI42" s="26" t="str"/>
      <x:c r="AJ42" s="26" t="str"/>
      <x:c r="AK42" s="26" t="str"/>
      <x:c r="AL42" s="26" t="str"/>
      <x:c r="AM42" s="26" t="str"/>
      <x:c r="AN42" s="26" t="str"/>
      <x:c r="AO42" s="26" t="str"/>
    </x:row>
  </x:sheetData>
  <x:mergeCells>
    <x:mergeCell ref="A1:AO1"/>
    <x:mergeCell ref="A2:AO2"/>
  </x:mergeCells>
  <x:conditionalFormatting sqref="AD5:AD42">
    <x:cfRule type="containsText" dxfId="0" priority="1" operator="containsText" text="improved"/>
    <x:cfRule type="containsText" dxfId="1" priority="2" operator="containsText" text="degraded"/>
  </x:conditionalFormatting>
  <x:dataValidations count="4">
    <x:dataValidation type="list" sqref="AI5:AI42">
      <x:formula1>"A,B,tie,uncertain"</x:formula1>
    </x:dataValidation>
    <x:dataValidation type="list" sqref="AJ5:AK42">
      <x:formula1>"correct,partial,incorrect,uncertain"</x:formula1>
    </x:dataValidation>
    <x:dataValidation type="list" sqref="AL5:AM42">
      <x:formula1>"faithful,partial,unfaithful,uncertain"</x:formula1>
    </x:dataValidation>
    <x:dataValidation type="list" sqref="AN5:AN42">
      <x:formula1>"compliant,partial,noncompliant,uncertain"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0130f356925447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52" hidden="0" customWidth="1"/>
    <x:col min="3" max="3" width="30" hidden="0" customWidth="1"/>
    <x:col min="4" max="4" width="30" hidden="0" customWidth="1"/>
  </x:cols>
  <x:sheetData>
    <x:row r="1" ht="30" customHeight="1">
      <x:c r="A1" s="27" t="str">
        <x:v>Citation Error Taxonomy</x:v>
      </x:c>
      <x:c r="B1" s="27"/>
      <x:c r="C1" s="27"/>
      <x:c r="D1" s="27"/>
    </x:row>
    <x:row r="3">
      <x:c r="A3" s="18" t="str">
        <x:v>Label</x:v>
      </x:c>
      <x:c r="B3" s="18" t="str">
        <x:v>Definition</x:v>
      </x:c>
      <x:c r="C3" s="18" t="str">
        <x:v>A count</x:v>
      </x:c>
      <x:c r="D3" s="18" t="str">
        <x:v>B count</x:v>
      </x:c>
    </x:row>
    <x:row r="4">
      <x:c r="A4" s="28" t="str">
        <x:v>MISSING_CITATION</x:v>
      </x:c>
      <x:c r="B4" s="28" t="str">
        <x:v>事实回答没有任何有效 [C#]</x:v>
      </x:c>
      <x:c r="C4" s="28" t="n">
        <x:f>'Metric Source'!G2</x:f>
        <x:v>34</x:v>
      </x:c>
      <x:c r="D4" s="28" t="n">
        <x:f>'Metric Source'!H2</x:f>
        <x:v>36</x:v>
      </x:c>
    </x:row>
    <x:row r="5">
      <x:c r="A5" s="28" t="str">
        <x:v>WRONG_CITATION</x:v>
      </x:c>
      <x:c r="B5" s="28" t="str">
        <x:v>引用 chunk 不支持对应事实</x:v>
      </x:c>
      <x:c r="C5" s="28" t="n">
        <x:f>'Metric Source'!G3</x:f>
        <x:v>0</x:v>
      </x:c>
      <x:c r="D5" s="28" t="n">
        <x:f>'Metric Source'!H3</x:f>
        <x:v>0</x:v>
      </x:c>
    </x:row>
    <x:row r="6">
      <x:c r="A6" s="28" t="str">
        <x:v>INSUFFICIENT_CITATION_COVERAGE</x:v>
      </x:c>
      <x:c r="B6" s="28" t="str">
        <x:v>只有部分事实单元具有引用</x:v>
      </x:c>
      <x:c r="C6" s="28" t="n">
        <x:f>'Metric Source'!G4</x:f>
        <x:v>0</x:v>
      </x:c>
      <x:c r="D6" s="28" t="n">
        <x:f>'Metric Source'!H4</x:f>
        <x:v>0</x:v>
      </x:c>
    </x:row>
    <x:row r="7">
      <x:c r="A7" s="28" t="str">
        <x:v>CITATION_FORMAT_ERROR</x:v>
      </x:c>
      <x:c r="B7" s="28" t="str">
        <x:v>引用语法或句末位置不合规</x:v>
      </x:c>
      <x:c r="C7" s="28" t="n">
        <x:f>'Metric Source'!G5</x:f>
        <x:v>2</x:v>
      </x:c>
      <x:c r="D7" s="28" t="n">
        <x:f>'Metric Source'!H5</x:f>
        <x:v>1</x:v>
      </x:c>
    </x:row>
    <x:row r="8">
      <x:c r="A8" s="28" t="str">
        <x:v>RETRIEVAL_FAILURE</x:v>
      </x:c>
      <x:c r="B8" s="28" t="str">
        <x:v>可靠 expected source 未进入 Top-5</x:v>
      </x:c>
      <x:c r="C8" s="28" t="n">
        <x:f>'Metric Source'!G6</x:f>
        <x:v>3</x:v>
      </x:c>
      <x:c r="D8" s="28" t="n">
        <x:f>'Metric Source'!H6</x:f>
        <x:v>3</x:v>
      </x:c>
    </x:row>
    <x:row r="9">
      <x:c r="A9" s="28" t="str">
        <x:v>SOURCE_QUALITY_FAILURE</x:v>
      </x:c>
      <x:c r="B9" s="28" t="str">
        <x:v>corpus 本身缺少足够资料</x:v>
      </x:c>
      <x:c r="C9" s="28" t="n">
        <x:f>'Metric Source'!G7</x:f>
        <x:v>2</x:v>
      </x:c>
      <x:c r="D9" s="28" t="n">
        <x:f>'Metric Source'!H7</x:f>
        <x:v>2</x:v>
      </x:c>
    </x:row>
    <x:row r="10">
      <x:c r="A10" s="28" t="str">
        <x:v>GENERATION_HALLUCINATION</x:v>
      </x:c>
      <x:c r="B10" s="28" t="str">
        <x:v>回答包含证据不支持的事实</x:v>
      </x:c>
      <x:c r="C10" s="28" t="n">
        <x:f>'Metric Source'!G8</x:f>
        <x:v>3</x:v>
      </x:c>
      <x:c r="D10" s="28" t="n">
        <x:f>'Metric Source'!H8</x:f>
        <x:v>5</x:v>
      </x:c>
    </x:row>
    <x:row r="11">
      <x:c r="A11" s="28" t="str">
        <x:v>OVERCONFIDENT_ANSWER</x:v>
      </x:c>
      <x:c r="B11" s="28" t="str">
        <x:v>证据不足仍给出确定回答</x:v>
      </x:c>
      <x:c r="C11" s="28" t="n">
        <x:f>'Metric Source'!G9</x:f>
        <x:v>3</x:v>
      </x:c>
      <x:c r="D11" s="28" t="n">
        <x:f>'Metric Source'!H9</x:f>
        <x:v>5</x:v>
      </x:c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</x:cols>
  <x:sheetData>
    <x:row r="1">
      <x:c r="A1" s="7" t="str">
        <x:v>preferred</x:v>
      </x:c>
      <x:c r="B1" s="7" t="str">
        <x:v>correctness</x:v>
      </x:c>
      <x:c r="C1" s="7" t="str">
        <x:v>faithfulness</x:v>
      </x:c>
      <x:c r="D1" s="7" t="str">
        <x:v>citation</x:v>
      </x:c>
    </x:row>
    <x:row r="2">
      <x:c r="A2" t="str">
        <x:v>A</x:v>
      </x:c>
      <x:c r="B2" t="str">
        <x:v>correct</x:v>
      </x:c>
      <x:c r="C2" t="str">
        <x:v>faithful</x:v>
      </x:c>
      <x:c r="D2" t="str">
        <x:v>compliant</x:v>
      </x:c>
    </x:row>
    <x:row r="3">
      <x:c r="A3" t="str">
        <x:v>B</x:v>
      </x:c>
      <x:c r="B3" t="str">
        <x:v>partial</x:v>
      </x:c>
      <x:c r="C3" t="str">
        <x:v>partial</x:v>
      </x:c>
      <x:c r="D3" t="str">
        <x:v>partial</x:v>
      </x:c>
    </x:row>
    <x:row r="4">
      <x:c r="A4" t="str">
        <x:v>tie</x:v>
      </x:c>
      <x:c r="B4" t="str">
        <x:v>incorrect</x:v>
      </x:c>
      <x:c r="C4" t="str">
        <x:v>unfaithful</x:v>
      </x:c>
      <x:c r="D4" t="str">
        <x:v>noncompliant</x:v>
      </x:c>
    </x:row>
    <x:row r="5">
      <x:c r="A5" t="str">
        <x:v>uncertain</x:v>
      </x:c>
      <x:c r="B5" t="str">
        <x:v>uncertain</x:v>
      </x:c>
      <x:c r="C5" t="str">
        <x:v>uncertain</x:v>
      </x:c>
      <x:c r="D5" t="str">
        <x:v>uncertain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>
      <x:c r="A1" s="7" t="str">
        <x:v>metric</x:v>
      </x:c>
      <x:c r="B1" s="7" t="str">
        <x:v>A</x:v>
      </x:c>
      <x:c r="C1" s="7" t="str">
        <x:v>B</x:v>
      </x:c>
      <x:c r="D1" s="7"/>
      <x:c r="E1" s="7" t="str">
        <x:v>change</x:v>
      </x:c>
      <x:c r="F1" s="7" t="str">
        <x:v>count</x:v>
      </x:c>
      <x:c r="G1" s="7" t="str">
        <x:v>A label count</x:v>
      </x:c>
      <x:c r="H1" s="7" t="str">
        <x:v>B label count</x:v>
      </x:c>
    </x:row>
    <x:row r="2">
      <x:c r="A2" t="str">
        <x:v>Questions</x:v>
      </x:c>
      <x:c r="B2" t="n">
        <x:v>38</x:v>
      </x:c>
      <x:c r="C2" t="n">
        <x:v>38</x:v>
      </x:c>
      <x:c r="E2" t="str">
        <x:v>improved</x:v>
      </x:c>
      <x:c r="F2" t="n">
        <x:v>0</x:v>
      </x:c>
      <x:c r="G2" t="n">
        <x:v>34</x:v>
      </x:c>
      <x:c r="H2" t="n">
        <x:v>36</x:v>
      </x:c>
    </x:row>
    <x:row r="3">
      <x:c r="A3" t="str">
        <x:v>Correctness normalized</x:v>
      </x:c>
      <x:c r="B3" s="29" t="n">
        <x:v>0.9868</x:v>
      </x:c>
      <x:c r="C3" s="29" t="n">
        <x:v>0.9605</x:v>
      </x:c>
      <x:c r="E3" t="str">
        <x:v>unchanged</x:v>
      </x:c>
      <x:c r="F3" t="n">
        <x:v>6</x:v>
      </x:c>
      <x:c r="G3" t="n">
        <x:v>0</x:v>
      </x:c>
      <x:c r="H3" t="n">
        <x:v>0</x:v>
      </x:c>
    </x:row>
    <x:row r="4">
      <x:c r="A4" t="str">
        <x:v>Faithfulness normalized</x:v>
      </x:c>
      <x:c r="B4" s="29" t="n">
        <x:v>0.9868</x:v>
      </x:c>
      <x:c r="C4" s="29" t="n">
        <x:v>1</x:v>
      </x:c>
      <x:c r="E4" t="str">
        <x:v>degraded</x:v>
      </x:c>
      <x:c r="F4" t="n">
        <x:v>4</x:v>
      </x:c>
      <x:c r="G4" t="n">
        <x:v>0</x:v>
      </x:c>
      <x:c r="H4" t="n">
        <x:v>0</x:v>
      </x:c>
    </x:row>
    <x:row r="5">
      <x:c r="A5" t="str">
        <x:v>Unsupported Claim Rate</x:v>
      </x:c>
      <x:c r="B5" s="29" t="n">
        <x:v>0.021</x:v>
      </x:c>
      <x:c r="C5" s="29" t="n">
        <x:v>0.0329</x:v>
      </x:c>
      <x:c r="E5" t="str">
        <x:v>uncertain</x:v>
      </x:c>
      <x:c r="F5" t="n">
        <x:v>28</x:v>
      </x:c>
      <x:c r="G5" t="n">
        <x:v>2</x:v>
      </x:c>
      <x:c r="H5" t="n">
        <x:v>1</x:v>
      </x:c>
    </x:row>
    <x:row r="6">
      <x:c r="A6" t="str">
        <x:v>Citation compliance</x:v>
      </x:c>
      <x:c r="B6" s="29" t="n">
        <x:v>0.0526</x:v>
      </x:c>
      <x:c r="C6" s="29" t="n">
        <x:v>0</x:v>
      </x:c>
      <x:c r="G6" t="n">
        <x:v>3</x:v>
      </x:c>
      <x:c r="H6" t="n">
        <x:v>3</x:v>
      </x:c>
    </x:row>
    <x:row r="7">
      <x:c r="A7" t="str">
        <x:v>Correct refusals</x:v>
      </x:c>
      <x:c r="B7" t="n">
        <x:v>2</x:v>
      </x:c>
      <x:c r="C7" t="n">
        <x:v>0</x:v>
      </x:c>
      <x:c r="G7" t="n">
        <x:v>2</x:v>
      </x:c>
      <x:c r="H7" t="n">
        <x:v>2</x:v>
      </x:c>
    </x:row>
    <x:row r="8">
      <x:c r="A8" t="str">
        <x:v>Hallucination answers</x:v>
      </x:c>
      <x:c r="B8" t="n">
        <x:v>3</x:v>
      </x:c>
      <x:c r="C8" t="n">
        <x:v>5</x:v>
      </x:c>
      <x:c r="G8" t="n">
        <x:v>3</x:v>
      </x:c>
      <x:c r="H8" t="n">
        <x:v>5</x:v>
      </x:c>
    </x:row>
    <x:row r="9">
      <x:c r="A9" t="str">
        <x:v>Avg generation latency (s)</x:v>
      </x:c>
      <x:c r="B9" t="n">
        <x:v>19.74272939211407</x:v>
      </x:c>
      <x:c r="C9" t="n">
        <x:v>20.598807165782137</x:v>
      </x:c>
      <x:c r="G9" t="n">
        <x:v>3</x:v>
      </x:c>
      <x:c r="H9" t="n">
        <x:v>5</x:v>
      </x:c>
    </x:row>
  </x:sheetData>
  <x:pageMargins left="0.7" right="0.7" top="0.75" bottom="0.75" header="0.3" footer="0.3"/>
</x:worksheet>
</file>