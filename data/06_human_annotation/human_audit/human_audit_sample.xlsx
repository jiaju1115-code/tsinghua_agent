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3b3c5ae941a4715" /></Relationships>
</file>

<file path=xl/workbook.xml><?xml version="1.0" encoding="utf-8"?>
<x:workbook xmlns:x="http://schemas.openxmlformats.org/spreadsheetml/2006/main">
  <x:sheets>
    <x:sheet xmlns:r="http://schemas.openxmlformats.org/officeDocument/2006/relationships" name="Human Audit" sheetId="1" r:id="R1894b34a12c54797"/>
    <x:sheet xmlns:r="http://schemas.openxmlformats.org/officeDocument/2006/relationships" name="Sampling Summary" sheetId="2" r:id="R6b252117d4724a7f"/>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6">
    <x:font>
      <x:sz val="11"/>
      <x:name val="Carlito"/>
    </x:font>
    <x:font>
      <x:b/>
      <x:sz val="16"/>
      <x:color rgb="FFFFFFFF"/>
      <x:name val="Carlito"/>
    </x:font>
    <x:font>
      <x:i/>
      <x:sz val="10"/>
      <x:color rgb="FF334155"/>
      <x:name val="Carlito"/>
    </x:font>
    <x:font>
      <x:b/>
      <x:sz val="11"/>
      <x:color rgb="FFFFFFFF"/>
      <x:name val="Carlito"/>
    </x:font>
    <x:font>
      <x:sz val="11"/>
      <x:color rgb="FF6B4F00"/>
      <x:name val="Carlito"/>
    </x:font>
    <x:font>
      <x:b/>
      <x:sz val="11"/>
      <x:color rgb="FF17324D"/>
      <x:name val="Carlito"/>
    </x:font>
  </x:fonts>
  <x:fills count="7">
    <x:fill>
      <x:patternFill patternType="none"/>
    </x:fill>
    <x:fill>
      <x:patternFill patternType="gray125"/>
    </x:fill>
    <x:fill>
      <x:patternFill patternType="solid">
        <x:fgColor rgb="FF17324D"/>
      </x:patternFill>
    </x:fill>
    <x:fill>
      <x:patternFill patternType="solid">
        <x:fgColor rgb="FFEAF0F6"/>
      </x:patternFill>
    </x:fill>
    <x:fill>
      <x:patternFill patternType="solid">
        <x:fgColor rgb="FF2B6F77"/>
      </x:patternFill>
    </x:fill>
    <x:fill>
      <x:patternFill patternType="solid">
        <x:fgColor rgb="FFFFF4CC"/>
      </x:patternFill>
    </x:fill>
    <x:fill>
      <x:patternFill patternType="solid">
        <x:fgColor rgb="FFF8FAFC"/>
      </x:patternFill>
    </x:fill>
  </x:fills>
  <x:borders count="1">
    <x:border/>
  </x:borders>
  <x:cellStyleXfs count="1">
    <x:xf numFmtId="0" fontId="0" fillId="0" borderId="0"/>
  </x:cellStyleXfs>
  <x:cellXfs count="25">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vertical="top" wrapText="1"/>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1" fillId="2" borderId="0" xfId="0" applyNumberFormat="1" applyFont="1" applyFill="1" applyBorder="1" applyAlignment="1">
      <x:alignment vertical="center"/>
    </x:xf>
    <x:xf numFmtId="0" fontId="5" fillId="3" borderId="0" xfId="0" applyNumberFormat="1" applyFont="1" applyFill="1" applyBorder="1"/>
    <x:xf numFmtId="0" fontId="0" fillId="6" borderId="0" xfId="0" applyNumberFormat="1" applyFont="1" applyFill="1" applyBorder="1"/>
    <x:xf numFmtId="200" fontId="0" fillId="6" borderId="0" xfId="0" applyNumberFormat="1" applyFont="1" applyFill="1" applyBorder="1"/>
    <x:xf numFmtId="200" fontId="0" fillId="6" borderId="0" xfId="0" applyNumberFormat="1" applyFont="1" applyFill="1" applyBorder="1" applyAlignment="1">
      <x:alignment horizontal="right"/>
    </x:xf>
    <x:xf numFmtId="200" fontId="0"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8f91a9bc77f40de" /><Relationship Type="http://schemas.openxmlformats.org/officeDocument/2006/relationships/theme" Target="/xl/theme/theme1.xml" Id="R9083305661db4d30" /><Relationship Type="http://schemas.openxmlformats.org/officeDocument/2006/relationships/sharedStrings" Target="/xl/sharedStrings.xml" Id="R8a71ffe33b654d2f" /><Relationship Type="http://schemas.openxmlformats.org/officeDocument/2006/relationships/worksheet" Target="/xl/worksheets/sheet1.xml" Id="R1894b34a12c54797" /><Relationship Type="http://schemas.openxmlformats.org/officeDocument/2006/relationships/worksheet" Target="/xl/worksheets/sheet2.xml" Id="R6b252117d4724a7f" /></Relationships>
</file>

<file path=xl/tables/table1.xml><?xml version="1.0" encoding="utf-8"?>
<x:table xmlns:x="http://schemas.openxmlformats.org/spreadsheetml/2006/main" id="1" name="HumanAuditSample" displayName="HumanAuditSample" ref="A4:M58" headerRowCount="1" totalsRowCount="0" totalsRowShown="0">
  <x:tableColumns count="13">
    <x:tableColumn id="1" name="sample_id"/>
    <x:tableColumn id="2" name="source"/>
    <x:tableColumn id="3" name="source_type"/>
    <x:tableColumn id="4" name="title"/>
    <x:tableColumn id="5" name="url"/>
    <x:tableColumn id="6" name="category"/>
    <x:tableColumn id="7" name="content_path"/>
    <x:tableColumn id="8" name="v3_2_decision"/>
    <x:tableColumn id="9" name="human_valid"/>
    <x:tableColumn id="10" name="category_correct"/>
    <x:tableColumn id="11" name="content_complete"/>
    <x:tableColumn id="12" name="useful_for_qa"/>
    <x:tableColumn id="13" name="human_note"/>
  </x:tableColumns>
  <x:tableStyleInfo name="TableStyleMedium2" showFirstColumn="0" showLastColumn="0" showRowStripes="1" showColumnStripes="0"/>
</x:table>
</file>

<file path=xl/tables/table2.xml><?xml version="1.0" encoding="utf-8"?>
<x:table xmlns:x="http://schemas.openxmlformats.org/spreadsheetml/2006/main" id="2" name="SamplingSummary" displayName="SamplingSummary" ref="A10:D28" headerRowCount="1" totalsRowCount="0" totalsRowShown="0">
  <x:tableColumns count="4">
    <x:tableColumn id="1" name="category"/>
    <x:tableColumn id="2" name="Public population"/>
    <x:tableColumn id="3" name="Public sample"/>
    <x:tableColumn id="4" name="Restricted sampl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461f3fda4c14606" /></Relationships>
</file>

<file path=xl/worksheets/_rels/sheet2.xml.rels>&#65279;<?xml version="1.0" encoding="utf-8"?><Relationships xmlns="http://schemas.openxmlformats.org/package/2006/relationships"><Relationship Type="http://schemas.openxmlformats.org/officeDocument/2006/relationships/table" Target="/xl/tables/table2.xml" Id="Rded784dc5e36414a" /></Relationships>
</file>

<file path=xl/worksheets/sheet1.xml><?xml version="1.0" encoding="utf-8"?>
<x:worksheet xmlns:x="http://schemas.openxmlformats.org/spreadsheetml/2006/main">
  <x:sheetViews>
    <x:sheetView showGridLines="0" workbookViewId="0"/>
  </x:sheetViews>
  <x:sheetFormatPr defaultRowHeight="15"/>
  <x:cols>
    <x:col min="1" max="1" width="16" hidden="0" customWidth="1"/>
    <x:col min="2" max="2" width="25" hidden="0" customWidth="1"/>
    <x:col min="3" max="3" width="13" hidden="0" customWidth="1"/>
    <x:col min="4" max="4" width="34" hidden="0" customWidth="1"/>
    <x:col min="5" max="5" width="45" hidden="0" customWidth="1"/>
    <x:col min="6" max="6" width="20" hidden="0" customWidth="1"/>
    <x:col min="7" max="7" width="42" hidden="0" customWidth="1"/>
    <x:col min="8" max="8" width="15" hidden="0" customWidth="1"/>
    <x:col min="9" max="9" width="16" hidden="0" customWidth="1"/>
    <x:col min="10" max="10" width="16" hidden="0" customWidth="1"/>
    <x:col min="11" max="11" width="16" hidden="0" customWidth="1"/>
    <x:col min="12" max="12" width="16" hidden="0" customWidth="1"/>
    <x:col min="13" max="13" width="30" hidden="0" customWidth="1"/>
  </x:cols>
  <x:sheetData>
    <x:row r="1" ht="30" customHeight="1">
      <x:c r="A1" s="4" t="str">
        <x:v>Human Audit Sample · Public 50 + Restricted 4</x:v>
      </x:c>
      <x:c r="B1" s="4"/>
      <x:c r="C1" s="4"/>
      <x:c r="D1" s="4"/>
      <x:c r="E1" s="4"/>
      <x:c r="F1" s="4"/>
      <x:c r="G1" s="4"/>
      <x:c r="H1" s="4"/>
      <x:c r="I1" s="4"/>
      <x:c r="J1" s="4"/>
      <x:c r="K1" s="4"/>
      <x:c r="L1" s="4"/>
      <x:c r="M1" s="4"/>
    </x:row>
    <x:row r="2" ht="24" customHeight="1">
      <x:c r="A2" s="7" t="str">
        <x:v>黄色列由人工填写；程序未预填任何人工结论。固定随机种子：20260813</x:v>
      </x:c>
      <x:c r="B2" s="7"/>
      <x:c r="C2" s="7"/>
      <x:c r="D2" s="7"/>
      <x:c r="E2" s="7"/>
      <x:c r="F2" s="7"/>
      <x:c r="G2" s="7"/>
      <x:c r="H2" s="7"/>
      <x:c r="I2" s="7"/>
      <x:c r="J2" s="7"/>
      <x:c r="K2" s="7"/>
      <x:c r="L2" s="7"/>
      <x:c r="M2" s="7"/>
    </x:row>
    <x:row r="4" ht="34" customHeight="1">
      <x:c r="A4" s="12" t="str">
        <x:v>sample_id</x:v>
      </x:c>
      <x:c r="B4" s="12" t="str">
        <x:v>source</x:v>
      </x:c>
      <x:c r="C4" s="12" t="str">
        <x:v>source_type</x:v>
      </x:c>
      <x:c r="D4" s="12" t="str">
        <x:v>title</x:v>
      </x:c>
      <x:c r="E4" s="12" t="str">
        <x:v>url</x:v>
      </x:c>
      <x:c r="F4" s="12" t="str">
        <x:v>category</x:v>
      </x:c>
      <x:c r="G4" s="12" t="str">
        <x:v>content_path</x:v>
      </x:c>
      <x:c r="H4" s="12" t="str">
        <x:v>v3_2_decision</x:v>
      </x:c>
      <x:c r="I4" s="12" t="str">
        <x:v>human_valid</x:v>
      </x:c>
      <x:c r="J4" s="12" t="str">
        <x:v>category_correct</x:v>
      </x:c>
      <x:c r="K4" s="12" t="str">
        <x:v>content_complete</x:v>
      </x:c>
      <x:c r="L4" s="12" t="str">
        <x:v>useful_for_qa</x:v>
      </x:c>
      <x:c r="M4" s="12" t="str">
        <x:v>human_note</x:v>
      </x:c>
    </x:row>
    <x:row r="5">
      <x:c r="A5" s="17" t="str">
        <x:v>STGPUB-0161</x:v>
      </x:c>
      <x:c r="B5" s="17" t="str">
        <x:v>staging_public_baseline_v1</x:v>
      </x:c>
      <x:c r="C5" s="17" t="str">
        <x:v>public</x:v>
      </x:c>
      <x:c r="D5" s="18" t="str">
        <x:v>新清华学堂 新清华学堂是清华大学在百年校庆期间建成的重要文化设施，由池宇峰、徐航、宋歌、方方 4 位校友捐赠，清华大学建筑学院李道增院士主持设计。场馆内观众大厅设池座和两层...</x:v>
      </x:c>
      <x:c r="E5" s="18" t="str">
        <x:v>https://www.tsinghua.edu.cn/info/1360/1407.htm</x:v>
      </x:c>
      <x:c r="F5" s="18" t="str">
        <x:v>体育与场馆</x:v>
      </x:c>
      <x:c r="G5" s="18" t="str">
        <x:v>staging_public_baseline_v1/content/STGPUB-0161.md</x:v>
      </x:c>
      <x:c r="H5" s="17" t="str">
        <x:v>approve</x:v>
      </x:c>
      <x:c r="I5" s="16"/>
      <x:c r="J5" s="16"/>
      <x:c r="K5" s="16"/>
      <x:c r="L5" s="16"/>
      <x:c r="M5" s="16"/>
    </x:row>
    <x:row r="6">
      <x:c r="A6" s="17" t="str">
        <x:v>STGPUB-0103</x:v>
      </x:c>
      <x:c r="B6" s="17" t="str">
        <x:v>staging_public_baseline_v1</x:v>
      </x:c>
      <x:c r="C6" s="17" t="str">
        <x:v>public</x:v>
      </x:c>
      <x:c r="D6" s="18" t="str">
        <x:v>李兆基科技大楼 李兆基科技大楼位于清华大学校园东南区域，总建筑面积约11万平米，地下4层，地上6-10层，是截至目前清华大学单体建筑面积最大、基坑最深的工程。大楼工程于2012年12月正...</x:v>
      </x:c>
      <x:c r="E6" s="18" t="str">
        <x:v>https://www.tsinghua.edu.cn/info/1360/81967.htm</x:v>
      </x:c>
      <x:c r="F6" s="18" t="str">
        <x:v>网络与信息化</x:v>
      </x:c>
      <x:c r="G6" s="18" t="str">
        <x:v>staging_public_baseline_v1/content/STGPUB-0103.md</x:v>
      </x:c>
      <x:c r="H6" s="17" t="str">
        <x:v>approve</x:v>
      </x:c>
      <x:c r="I6" s="16"/>
      <x:c r="J6" s="16"/>
      <x:c r="K6" s="16"/>
      <x:c r="L6" s="16"/>
      <x:c r="M6" s="16"/>
    </x:row>
    <x:row r="7">
      <x:c r="A7" s="17" t="str">
        <x:v>STGPUB-0179</x:v>
      </x:c>
      <x:c r="B7" s="17" t="str">
        <x:v>staging_public_baseline_v1</x:v>
      </x:c>
      <x:c r="C7" s="17" t="str">
        <x:v>public</x:v>
      </x:c>
      <x:c r="D7" s="18" t="str">
        <x:v>Social Insurance</x:v>
      </x:c>
      <x:c r="E7" s="18" t="str">
        <x:v>https://www.is.tsinghua.edu.cn/sdfgsadf/Social_Insurance.htm</x:v>
      </x:c>
      <x:c r="F7" s="18" t="str">
        <x:v>就业与职业发展</x:v>
      </x:c>
      <x:c r="G7" s="18" t="str">
        <x:v>staging_public_baseline_v1/content/STGPUB-0179.md</x:v>
      </x:c>
      <x:c r="H7" s="17" t="str">
        <x:v>approve</x:v>
      </x:c>
      <x:c r="I7" s="16"/>
      <x:c r="J7" s="16"/>
      <x:c r="K7" s="16"/>
      <x:c r="L7" s="16"/>
      <x:c r="M7" s="16"/>
    </x:row>
    <x:row r="8">
      <x:c r="A8" s="17" t="str">
        <x:v>STGPUB-0099</x:v>
      </x:c>
      <x:c r="B8" s="17" t="str">
        <x:v>staging_public_baseline_v1</x:v>
      </x:c>
      <x:c r="C8" s="17" t="str">
        <x:v>public</x:v>
      </x:c>
      <x:c r="D8" s="18" t="str">
        <x:v>党委统战部</x:v>
      </x:c>
      <x:c r="E8" s="18" t="str">
        <x:v>http://www.tyzx.tsinghua.edu.cn/</x:v>
      </x:c>
      <x:c r="F8" s="18" t="str">
        <x:v>网络与信息化</x:v>
      </x:c>
      <x:c r="G8" s="18" t="str">
        <x:v>staging_public_baseline_v1/content/STGPUB-0099.md</x:v>
      </x:c>
      <x:c r="H8" s="17" t="str">
        <x:v>approve</x:v>
      </x:c>
      <x:c r="I8" s="16"/>
      <x:c r="J8" s="16"/>
      <x:c r="K8" s="16"/>
      <x:c r="L8" s="16"/>
      <x:c r="M8" s="16"/>
    </x:row>
    <x:row r="9">
      <x:c r="A9" s="17" t="str">
        <x:v>STGPUB-0063</x:v>
      </x:c>
      <x:c r="B9" s="17" t="str">
        <x:v>staging_public_baseline_v1</x:v>
      </x:c>
      <x:c r="C9" s="17" t="str">
        <x:v>public</x:v>
      </x:c>
      <x:c r="D9" s="18" t="str">
        <x:v>就医指南</x:v>
      </x:c>
      <x:c r="E9" s="18" t="str">
        <x:v>https://www.med.tsinghua.edu.cn/tlff/bj/jyzn.htm</x:v>
      </x:c>
      <x:c r="F9" s="18" t="str">
        <x:v>学生事务</x:v>
      </x:c>
      <x:c r="G9" s="18" t="str">
        <x:v>staging_public_baseline_v1/content/STGPUB-0063.md</x:v>
      </x:c>
      <x:c r="H9" s="17" t="str">
        <x:v>approve</x:v>
      </x:c>
      <x:c r="I9" s="16"/>
      <x:c r="J9" s="16"/>
      <x:c r="K9" s="16"/>
      <x:c r="L9" s="16"/>
      <x:c r="M9" s="16"/>
    </x:row>
    <x:row r="10">
      <x:c r="A10" s="17" t="str">
        <x:v>STGPUB-0162</x:v>
      </x:c>
      <x:c r="B10" s="17" t="str">
        <x:v>staging_public_baseline_v1</x:v>
      </x:c>
      <x:c r="C10" s="17" t="str">
        <x:v>public</x:v>
      </x:c>
      <x:c r="D10" s="18" t="str">
        <x:v>综合体育馆 综合体育馆于2000年建成，总建筑面积 12547.85平米，总观众席位4502个，可满足国际比赛和现场电视转播的要求。为2001年第21届世界大学生运动会男子篮球比赛场馆，2008年...</x:v>
      </x:c>
      <x:c r="E10" s="18" t="str">
        <x:v>https://www.tsinghua.edu.cn/info/1360/1409.htm</x:v>
      </x:c>
      <x:c r="F10" s="18" t="str">
        <x:v>体育与场馆</x:v>
      </x:c>
      <x:c r="G10" s="18" t="str">
        <x:v>staging_public_baseline_v1/content/STGPUB-0162.md</x:v>
      </x:c>
      <x:c r="H10" s="17" t="str">
        <x:v>approve</x:v>
      </x:c>
      <x:c r="I10" s="16"/>
      <x:c r="J10" s="16"/>
      <x:c r="K10" s="16"/>
      <x:c r="L10" s="16"/>
      <x:c r="M10" s="16"/>
    </x:row>
    <x:row r="11">
      <x:c r="A11" s="17" t="str">
        <x:v>STGPUB-0177</x:v>
      </x:c>
      <x:c r="B11" s="17" t="str">
        <x:v>staging_public_baseline_v1</x:v>
      </x:c>
      <x:c r="C11" s="17" t="str">
        <x:v>public</x:v>
      </x:c>
      <x:c r="D11" s="18" t="str">
        <x:v>Visa Types</x:v>
      </x:c>
      <x:c r="E11" s="18" t="str">
        <x:v>https://www.is.tsinghua.edu.cn/asdfasdf/vp/VT.htm</x:v>
      </x:c>
      <x:c r="F11" s="18" t="str">
        <x:v>国际事务与签证</x:v>
      </x:c>
      <x:c r="G11" s="18" t="str">
        <x:v>staging_public_baseline_v1/content/STGPUB-0177.md</x:v>
      </x:c>
      <x:c r="H11" s="17" t="str">
        <x:v>approve</x:v>
      </x:c>
      <x:c r="I11" s="16"/>
      <x:c r="J11" s="16"/>
      <x:c r="K11" s="16"/>
      <x:c r="L11" s="16"/>
      <x:c r="M11" s="16"/>
    </x:row>
    <x:row r="12">
      <x:c r="A12" s="17" t="str">
        <x:v>STGPUB-0164</x:v>
      </x:c>
      <x:c r="B12" s="17" t="str">
        <x:v>staging_public_baseline_v1</x:v>
      </x:c>
      <x:c r="C12" s="17" t="str">
        <x:v>public</x:v>
      </x:c>
      <x:c r="D12" s="18" t="str">
        <x:v>清华大学书院导师工作管理办法 2021/04/07 第一条书院为了更好地指导学生的全面发展，促进老师与学生的指导交流，制定本办法。本办法适用于书院聘请的导师。第二条各院...</x:v>
      </x:c>
      <x:c r="E12" s="18" t="str">
        <x:v>https://www.wyc.tsinghua.edu.cn/info/1035/1045.htm</x:v>
      </x:c>
      <x:c r="F12" s="18" t="str">
        <x:v>奖助与资助</x:v>
      </x:c>
      <x:c r="G12" s="18" t="str">
        <x:v>staging_public_baseline_v1/content/STGPUB-0164.md</x:v>
      </x:c>
      <x:c r="H12" s="17" t="str">
        <x:v>approve</x:v>
      </x:c>
      <x:c r="I12" s="16"/>
      <x:c r="J12" s="16"/>
      <x:c r="K12" s="16"/>
      <x:c r="L12" s="16"/>
      <x:c r="M12" s="16"/>
    </x:row>
    <x:row r="13">
      <x:c r="A13" s="17" t="str">
        <x:v>RESV1-0016</x:v>
      </x:c>
      <x:c r="B13" s="17" t="str">
        <x:v>restricted_expansion_v1</x:v>
      </x:c>
      <x:c r="C13" s="17" t="str">
        <x:v>restricted</x:v>
      </x:c>
      <x:c r="D13" s="18" t="str">
        <x:v>清华大学特等奖学金评选办法 - 清华大学信息门户</x:v>
      </x:c>
      <x:c r="E13" s="18" t="str">
        <x:v>https://info.tsinghua.edu.cn/f/info/xxfb_fg/xnzx/template/detail?xxid=ad6e98bc019644df97dadbbff29f8964</x:v>
      </x:c>
      <x:c r="F13" s="18" t="str">
        <x:v>奖助与资助</x:v>
      </x:c>
      <x:c r="G13" s="18" t="str">
        <x:v>restricted_expansion_v1/extracted/RESV1-0016.md</x:v>
      </x:c>
      <x:c r="H13" s="17" t="str">
        <x:v>approve</x:v>
      </x:c>
      <x:c r="I13" s="16"/>
      <x:c r="J13" s="16"/>
      <x:c r="K13" s="16"/>
      <x:c r="L13" s="16"/>
      <x:c r="M13" s="16"/>
    </x:row>
    <x:row r="14">
      <x:c r="A14" s="17" t="str">
        <x:v>RESV1-0010</x:v>
      </x:c>
      <x:c r="B14" s="17" t="str">
        <x:v>restricted_expansion_v1</x:v>
      </x:c>
      <x:c r="C14" s="17" t="str">
        <x:v>restricted</x:v>
      </x:c>
      <x:c r="D14" s="18" t="str">
        <x:v>单位编码</x:v>
      </x:c>
      <x:c r="E14" s="18" t="str">
        <x:v>https://info.tsinghua.edu.cn/f/info/xxfb_fg/xnzx/template/detail?xxid=e58693887c1ab7df017c1acb5ee7000a</x:v>
      </x:c>
      <x:c r="F14" s="18" t="str">
        <x:v>校园综合服务</x:v>
      </x:c>
      <x:c r="G14" s="18" t="str">
        <x:v>restricted_expansion_v1/extracted/RESV1-0010.md</x:v>
      </x:c>
      <x:c r="H14" s="17" t="str">
        <x:v>approve</x:v>
      </x:c>
      <x:c r="I14" s="16"/>
      <x:c r="J14" s="16"/>
      <x:c r="K14" s="16"/>
      <x:c r="L14" s="16"/>
      <x:c r="M14" s="16"/>
    </x:row>
    <x:row r="15">
      <x:c r="A15" s="17" t="str">
        <x:v>STGPUB-0159</x:v>
      </x:c>
      <x:c r="B15" s="17" t="str">
        <x:v>staging_public_baseline_v1</x:v>
      </x:c>
      <x:c r="C15" s="17" t="str">
        <x:v>public</x:v>
      </x:c>
      <x:c r="D15" s="18" t="str">
        <x:v>体育设施</x:v>
      </x:c>
      <x:c r="E15" s="18" t="str">
        <x:v>https://www.thsports.tsinghua.edu.cn/tyss.htm</x:v>
      </x:c>
      <x:c r="F15" s="18" t="str">
        <x:v>体育与场馆</x:v>
      </x:c>
      <x:c r="G15" s="18" t="str">
        <x:v>staging_public_baseline_v1/content/STGPUB-0159.md</x:v>
      </x:c>
      <x:c r="H15" s="17" t="str">
        <x:v>approve</x:v>
      </x:c>
      <x:c r="I15" s="16"/>
      <x:c r="J15" s="16"/>
      <x:c r="K15" s="16"/>
      <x:c r="L15" s="16"/>
      <x:c r="M15" s="16"/>
    </x:row>
    <x:row r="16">
      <x:c r="A16" s="17" t="str">
        <x:v>STGPUB-0034</x:v>
      </x:c>
      <x:c r="B16" s="17" t="str">
        <x:v>staging_public_baseline_v1</x:v>
      </x:c>
      <x:c r="C16" s="17" t="str">
        <x:v>public</x:v>
      </x:c>
      <x:c r="D16" s="18" t="str">
        <x:v>清华大学学生社团建设管理办法 为了深入学习贯彻习近平新时代中国特色社会主义思想特别是习近平总书记关于高校思想政治工作和青年工作的重要论述，更好地支持鼓励学生社团健康有序发展，充分发挥学生社团育人功能，加强和规范学生社团管理工作...</x:v>
      </x:c>
      <x:c r="E16" s="18" t="str">
        <x:v>https://qzc.tsinghua.edu.cn/info/1029/1447.htm</x:v>
      </x:c>
      <x:c r="F16" s="18" t="str">
        <x:v>教务与学籍</x:v>
      </x:c>
      <x:c r="G16" s="18" t="str">
        <x:v>staging_public_baseline_v1/content/STGPUB-0034.md</x:v>
      </x:c>
      <x:c r="H16" s="17" t="str">
        <x:v>approve</x:v>
      </x:c>
      <x:c r="I16" s="16"/>
      <x:c r="J16" s="16"/>
      <x:c r="K16" s="16"/>
      <x:c r="L16" s="16"/>
      <x:c r="M16" s="16"/>
    </x:row>
    <x:row r="17">
      <x:c r="A17" s="17" t="str">
        <x:v>STGPUB-0181</x:v>
      </x:c>
      <x:c r="B17" s="17" t="str">
        <x:v>staging_public_baseline_v1</x:v>
      </x:c>
      <x:c r="C17" s="17" t="str">
        <x:v>public</x:v>
      </x:c>
      <x:c r="D17" s="18" t="str">
        <x:v>学生就业服务协会</x:v>
      </x:c>
      <x:c r="E17" s="18" t="str">
        <x:v>https://career.tsinghua.edu.cn/info/1037/5015.htm</x:v>
      </x:c>
      <x:c r="F17" s="18" t="str">
        <x:v>就业与职业发展</x:v>
      </x:c>
      <x:c r="G17" s="18" t="str">
        <x:v>staging_public_baseline_v1/content/STGPUB-0181.md</x:v>
      </x:c>
      <x:c r="H17" s="17" t="str">
        <x:v>approve</x:v>
      </x:c>
      <x:c r="I17" s="16"/>
      <x:c r="J17" s="16"/>
      <x:c r="K17" s="16"/>
      <x:c r="L17" s="16"/>
      <x:c r="M17" s="16"/>
    </x:row>
    <x:row r="18">
      <x:c r="A18" s="17" t="str">
        <x:v>STGPUB-0142</x:v>
      </x:c>
      <x:c r="B18" s="17" t="str">
        <x:v>staging_public_baseline_v1</x:v>
      </x:c>
      <x:c r="C18" s="17" t="str">
        <x:v>public</x:v>
      </x:c>
      <x:c r="D18" s="18" t="str">
        <x:v>开放科学小百科 | 开放科学的隐忧与出路：不平等、垄断与治理创新-清华大学图书馆</x:v>
      </x:c>
      <x:c r="E18" s="18" t="str">
        <x:v>https://lib.tsinghua.edu.cn/info/1375/7833.htm</x:v>
      </x:c>
      <x:c r="F18" s="18" t="str">
        <x:v>图书馆服务</x:v>
      </x:c>
      <x:c r="G18" s="18" t="str">
        <x:v>staging_public_baseline_v1/content/STGPUB-0142.md</x:v>
      </x:c>
      <x:c r="H18" s="17" t="str">
        <x:v>approve</x:v>
      </x:c>
      <x:c r="I18" s="16"/>
      <x:c r="J18" s="16"/>
      <x:c r="K18" s="16"/>
      <x:c r="L18" s="16"/>
      <x:c r="M18" s="16"/>
    </x:row>
    <x:row r="19">
      <x:c r="A19" s="17" t="str">
        <x:v>RESV1-0015</x:v>
      </x:c>
      <x:c r="B19" s="17" t="str">
        <x:v>restricted_expansion_v1</x:v>
      </x:c>
      <x:c r="C19" s="17" t="str">
        <x:v>restricted</x:v>
      </x:c>
      <x:c r="D19" s="18" t="str">
        <x:v>生育医疗报销程序 - 清华大学信息门户</x:v>
      </x:c>
      <x:c r="E19" s="18" t="str">
        <x:v>https://info.tsinghua.edu.cn/f/info/xxfb_fg/xnzx/template/detail?xxid=663ad10bbe42431aa4a65c0d658bfb96</x:v>
      </x:c>
      <x:c r="F19" s="18" t="str">
        <x:v>医疗健康</x:v>
      </x:c>
      <x:c r="G19" s="18" t="str">
        <x:v>restricted_expansion_v1/extracted/RESV1-0015.md</x:v>
      </x:c>
      <x:c r="H19" s="17" t="str">
        <x:v>approve</x:v>
      </x:c>
      <x:c r="I19" s="16"/>
      <x:c r="J19" s="16"/>
      <x:c r="K19" s="16"/>
      <x:c r="L19" s="16"/>
      <x:c r="M19" s="16"/>
    </x:row>
    <x:row r="20">
      <x:c r="A20" s="17" t="str">
        <x:v>STGPUB-0082</x:v>
      </x:c>
      <x:c r="B20" s="17" t="str">
        <x:v>staging_public_baseline_v1</x:v>
      </x:c>
      <x:c r="C20" s="17" t="str">
        <x:v>public</x:v>
      </x:c>
      <x:c r="D20" s="18" t="str">
        <x:v>电子系方璐团队合作提出类肤柔性视觉感知系统 探索光学成像新维度</x:v>
      </x:c>
      <x:c r="E20" s="18" t="str">
        <x:v>https://www.tsinghua.edu.cn/info/1175/126904.htm</x:v>
      </x:c>
      <x:c r="F20" s="18" t="str">
        <x:v>交通服务</x:v>
      </x:c>
      <x:c r="G20" s="18" t="str">
        <x:v>staging_public_baseline_v1/content/STGPUB-0082.md</x:v>
      </x:c>
      <x:c r="H20" s="17" t="str">
        <x:v>approve</x:v>
      </x:c>
      <x:c r="I20" s="16"/>
      <x:c r="J20" s="16"/>
      <x:c r="K20" s="16"/>
      <x:c r="L20" s="16"/>
      <x:c r="M20" s="16"/>
    </x:row>
    <x:row r="21">
      <x:c r="A21" s="17" t="str">
        <x:v>STGPUB-0174</x:v>
      </x:c>
      <x:c r="B21" s="17" t="str">
        <x:v>staging_public_baseline_v1</x:v>
      </x:c>
      <x:c r="C21" s="17" t="str">
        <x:v>public</x:v>
      </x:c>
      <x:c r="D21" s="18" t="str">
        <x:v>Off-campus accommodation</x:v>
      </x:c>
      <x:c r="E21" s="18" t="str">
        <x:v>https://www.is.tsinghua.edu.cn/asdfasdf/Accommodationq/Off_campus_accommodation.htm</x:v>
      </x:c>
      <x:c r="F21" s="18" t="str">
        <x:v>国际事务与签证</x:v>
      </x:c>
      <x:c r="G21" s="18" t="str">
        <x:v>staging_public_baseline_v1/content/STGPUB-0174.md</x:v>
      </x:c>
      <x:c r="H21" s="17" t="str">
        <x:v>approve</x:v>
      </x:c>
      <x:c r="I21" s="16"/>
      <x:c r="J21" s="16"/>
      <x:c r="K21" s="16"/>
      <x:c r="L21" s="16"/>
      <x:c r="M21" s="16"/>
    </x:row>
    <x:row r="22">
      <x:c r="A22" s="17" t="str">
        <x:v>STGPUB-0163</x:v>
      </x:c>
      <x:c r="B22" s="17" t="str">
        <x:v>staging_public_baseline_v1</x:v>
      </x:c>
      <x:c r="C22" s="17" t="str">
        <x:v>public</x:v>
      </x:c>
      <x:c r="D22" s="18" t="str">
        <x:v>材料学院李千课题组合作在晶圆级钛酸钡薄膜外延制造领域取得进展</x:v>
      </x:c>
      <x:c r="E22" s="18" t="str">
        <x:v>https://www.tsinghua.edu.cn/info/1175/126806.htm</x:v>
      </x:c>
      <x:c r="F22" s="18" t="str">
        <x:v>奖助与资助</x:v>
      </x:c>
      <x:c r="G22" s="18" t="str">
        <x:v>staging_public_baseline_v1/content/STGPUB-0163.md</x:v>
      </x:c>
      <x:c r="H22" s="17" t="str">
        <x:v>approve</x:v>
      </x:c>
      <x:c r="I22" s="16"/>
      <x:c r="J22" s="16"/>
      <x:c r="K22" s="16"/>
      <x:c r="L22" s="16"/>
      <x:c r="M22" s="16"/>
    </x:row>
    <x:row r="23">
      <x:c r="A23" s="17" t="str">
        <x:v>STGPUB-0182</x:v>
      </x:c>
      <x:c r="B23" s="17" t="str">
        <x:v>staging_public_baseline_v1</x:v>
      </x:c>
      <x:c r="C23" s="17" t="str">
        <x:v>public</x:v>
      </x:c>
      <x:c r="D23" s="18" t="str">
        <x:v>我是学生 - 清华大学学生职业发展指导中心</x:v>
      </x:c>
      <x:c r="E23" s="18" t="str">
        <x:v>https://career.cic.tsinghua.edu.cn/xsglxt/f/jyxt/anony/izpxxPage</x:v>
      </x:c>
      <x:c r="F23" s="18" t="str">
        <x:v>就业与职业发展</x:v>
      </x:c>
      <x:c r="G23" s="18" t="str">
        <x:v>staging_public_baseline_v1/content/STGPUB-0182.md</x:v>
      </x:c>
      <x:c r="H23" s="17" t="str">
        <x:v>approve</x:v>
      </x:c>
      <x:c r="I23" s="16"/>
      <x:c r="J23" s="16"/>
      <x:c r="K23" s="16"/>
      <x:c r="L23" s="16"/>
      <x:c r="M23" s="16"/>
    </x:row>
    <x:row r="24">
      <x:c r="A24" s="17" t="str">
        <x:v>STGPUB-0064</x:v>
      </x:c>
      <x:c r="B24" s="17" t="str">
        <x:v>staging_public_baseline_v1</x:v>
      </x:c>
      <x:c r="C24" s="17" t="str">
        <x:v>public</x:v>
      </x:c>
      <x:c r="D24" s="18" t="str">
        <x:v>毕业生在线手续办理流程及说明</x:v>
      </x:c>
      <x:c r="E24" s="18" t="str">
        <x:v>https://career.tsinghua.edu.cn/info/1031/4202.htm</x:v>
      </x:c>
      <x:c r="F24" s="18" t="str">
        <x:v>学生事务</x:v>
      </x:c>
      <x:c r="G24" s="18" t="str">
        <x:v>staging_public_baseline_v1/content/STGPUB-0064.md</x:v>
      </x:c>
      <x:c r="H24" s="17" t="str">
        <x:v>approve</x:v>
      </x:c>
      <x:c r="I24" s="16"/>
      <x:c r="J24" s="16"/>
      <x:c r="K24" s="16"/>
      <x:c r="L24" s="16"/>
      <x:c r="M24" s="16"/>
    </x:row>
    <x:row r="25">
      <x:c r="A25" s="17" t="str">
        <x:v>STGPUB-0180</x:v>
      </x:c>
      <x:c r="B25" s="17" t="str">
        <x:v>staging_public_baseline_v1</x:v>
      </x:c>
      <x:c r="C25" s="17" t="str">
        <x:v>public</x:v>
      </x:c>
      <x:c r="D25" s="18" t="str">
        <x:v>Tax Policy</x:v>
      </x:c>
      <x:c r="E25" s="18" t="str">
        <x:v>https://www.is.tsinghua.edu.cn/sdfgsadf/TPR/Tax_Policy.htm</x:v>
      </x:c>
      <x:c r="F25" s="18" t="str">
        <x:v>就业与职业发展</x:v>
      </x:c>
      <x:c r="G25" s="18" t="str">
        <x:v>staging_public_baseline_v1/content/STGPUB-0180.md</x:v>
      </x:c>
      <x:c r="H25" s="17" t="str">
        <x:v>approve</x:v>
      </x:c>
      <x:c r="I25" s="16"/>
      <x:c r="J25" s="16"/>
      <x:c r="K25" s="16"/>
      <x:c r="L25" s="16"/>
      <x:c r="M25" s="16"/>
    </x:row>
    <x:row r="26">
      <x:c r="A26" s="17" t="str">
        <x:v>STGPUB-0223</x:v>
      </x:c>
      <x:c r="B26" s="17" t="str">
        <x:v>staging_public_baseline_v1</x:v>
      </x:c>
      <x:c r="C26" s="17" t="str">
        <x:v>public</x:v>
      </x:c>
      <x:c r="D26" s="18" t="str">
        <x:v>图书馆 图书馆作为校园重要文化地标，诞生于清华大学建校之初，前身是1912年设立的清华学校图书室。1916年，图书馆一期建筑工程开始动工，一期工程由美国著名建筑师亨利·墨...</x:v>
      </x:c>
      <x:c r="E26" s="18" t="str">
        <x:v>https://www.tsinghua.edu.cn/info/1360/1391.htm</x:v>
      </x:c>
      <x:c r="F26" s="18" t="str">
        <x:v>校园机构与部门</x:v>
      </x:c>
      <x:c r="G26" s="18" t="str">
        <x:v>staging_public_baseline_v1/content/STGPUB-0223.md</x:v>
      </x:c>
      <x:c r="H26" s="17" t="str">
        <x:v>approve</x:v>
      </x:c>
      <x:c r="I26" s="16"/>
      <x:c r="J26" s="16"/>
      <x:c r="K26" s="16"/>
      <x:c r="L26" s="16"/>
      <x:c r="M26" s="16"/>
    </x:row>
    <x:row r="27">
      <x:c r="A27" s="17" t="str">
        <x:v>STGPUB-0078</x:v>
      </x:c>
      <x:c r="B27" s="17" t="str">
        <x:v>staging_public_baseline_v1</x:v>
      </x:c>
      <x:c r="C27" s="17" t="str">
        <x:v>public</x:v>
      </x:c>
      <x:c r="D27" s="18" t="str">
        <x:v>商贸与食品安全管理中心</x:v>
      </x:c>
      <x:c r="E27" s="18" t="str">
        <x:v>https://www.tsinghua.edu.cn/smzx/</x:v>
      </x:c>
      <x:c r="F27" s="18" t="str">
        <x:v>餐饮服务</x:v>
      </x:c>
      <x:c r="G27" s="18" t="str">
        <x:v>staging_public_baseline_v1/content/STGPUB-0078.md</x:v>
      </x:c>
      <x:c r="H27" s="17" t="str">
        <x:v>approve</x:v>
      </x:c>
      <x:c r="I27" s="16"/>
      <x:c r="J27" s="16"/>
      <x:c r="K27" s="16"/>
      <x:c r="L27" s="16"/>
      <x:c r="M27" s="16"/>
    </x:row>
    <x:row r="28">
      <x:c r="A28" s="17" t="str">
        <x:v>STGPUB-0152</x:v>
      </x:c>
      <x:c r="B28" s="17" t="str">
        <x:v>staging_public_baseline_v1</x:v>
      </x:c>
      <x:c r="C28" s="17" t="str">
        <x:v>public</x:v>
      </x:c>
      <x:c r="D28" s="18" t="str">
        <x:v>联系我们-清华大学图书馆</x:v>
      </x:c>
      <x:c r="E28" s="18" t="str">
        <x:v>https://lib.tsinghua.edu.cn/gk/lxwm.htm</x:v>
      </x:c>
      <x:c r="F28" s="18" t="str">
        <x:v>图书馆服务</x:v>
      </x:c>
      <x:c r="G28" s="18" t="str">
        <x:v>staging_public_baseline_v1/content/STGPUB-0152.md</x:v>
      </x:c>
      <x:c r="H28" s="17" t="str">
        <x:v>approve</x:v>
      </x:c>
      <x:c r="I28" s="16"/>
      <x:c r="J28" s="16"/>
      <x:c r="K28" s="16"/>
      <x:c r="L28" s="16"/>
      <x:c r="M28" s="16"/>
    </x:row>
    <x:row r="29">
      <x:c r="A29" s="17" t="str">
        <x:v>STGPUB-0079</x:v>
      </x:c>
      <x:c r="B29" s="17" t="str">
        <x:v>staging_public_baseline_v1</x:v>
      </x:c>
      <x:c r="C29" s="17" t="str">
        <x:v>public</x:v>
      </x:c>
      <x:c r="D29" s="18" t="str">
        <x:v>饮食服务中心</x:v>
      </x:c>
      <x:c r="E29" s="18" t="str">
        <x:v>https://www.tsinghua.edu.cn/ysfwzx/</x:v>
      </x:c>
      <x:c r="F29" s="18" t="str">
        <x:v>餐饮服务</x:v>
      </x:c>
      <x:c r="G29" s="18" t="str">
        <x:v>staging_public_baseline_v1/content/STGPUB-0079.md</x:v>
      </x:c>
      <x:c r="H29" s="17" t="str">
        <x:v>approve</x:v>
      </x:c>
      <x:c r="I29" s="16"/>
      <x:c r="J29" s="16"/>
      <x:c r="K29" s="16"/>
      <x:c r="L29" s="16"/>
      <x:c r="M29" s="16"/>
    </x:row>
    <x:row r="30">
      <x:c r="A30" s="17" t="str">
        <x:v>STGPUB-0123</x:v>
      </x:c>
      <x:c r="B30" s="17" t="str">
        <x:v>staging_public_baseline_v1</x:v>
      </x:c>
      <x:c r="C30" s="17" t="str">
        <x:v>public</x:v>
      </x:c>
      <x:c r="D30" s="18" t="str">
        <x:v>全国报刊索引-中国近代报纸资源全库开通试用(2026年1月5日-2026年4月5日)（试用延长至2026年12月31日）-清华大学图书馆</x:v>
      </x:c>
      <x:c r="E30" s="18" t="str">
        <x:v>https://lib.tsinghua.edu.cn/info/1077/7865.htm</x:v>
      </x:c>
      <x:c r="F30" s="18" t="str">
        <x:v>图书馆服务</x:v>
      </x:c>
      <x:c r="G30" s="18" t="str">
        <x:v>staging_public_baseline_v1/content/STGPUB-0123.md</x:v>
      </x:c>
      <x:c r="H30" s="17" t="str">
        <x:v>approve</x:v>
      </x:c>
      <x:c r="I30" s="16"/>
      <x:c r="J30" s="16"/>
      <x:c r="K30" s="16"/>
      <x:c r="L30" s="16"/>
      <x:c r="M30" s="16"/>
    </x:row>
    <x:row r="31">
      <x:c r="A31" s="17" t="str">
        <x:v>STGPUB-0166</x:v>
      </x:c>
      <x:c r="B31" s="17" t="str">
        <x:v>staging_public_baseline_v1</x:v>
      </x:c>
      <x:c r="C31" s="17" t="str">
        <x:v>public</x:v>
      </x:c>
      <x:c r="D31" s="18" t="str">
        <x:v>纪检监察机构</x:v>
      </x:c>
      <x:c r="E31" s="18" t="str">
        <x:v>https://www.tsinghua.edu.cn/qhdxjwbgs/</x:v>
      </x:c>
      <x:c r="F31" s="18" t="str">
        <x:v>奖助与资助</x:v>
      </x:c>
      <x:c r="G31" s="18" t="str">
        <x:v>staging_public_baseline_v1/content/STGPUB-0166.md</x:v>
      </x:c>
      <x:c r="H31" s="17" t="str">
        <x:v>approve</x:v>
      </x:c>
      <x:c r="I31" s="16"/>
      <x:c r="J31" s="16"/>
      <x:c r="K31" s="16"/>
      <x:c r="L31" s="16"/>
      <x:c r="M31" s="16"/>
    </x:row>
    <x:row r="32">
      <x:c r="A32" s="17" t="str">
        <x:v>RESV1-0009</x:v>
      </x:c>
      <x:c r="B32" s="17" t="str">
        <x:v>restricted_expansion_v1</x:v>
      </x:c>
      <x:c r="C32" s="17" t="str">
        <x:v>restricted</x:v>
      </x:c>
      <x:c r="D32" s="18" t="str">
        <x:v>研究生专业___清华大学综合信息服务</x:v>
      </x:c>
      <x:c r="E32" s="18" t="str">
        <x:v>https://info.tsinghua.edu.cn/f/info/xxfb_fg/xnzx/template/detail?xxid=e58693887c1ab7df017c1aca21f50008</x:v>
      </x:c>
      <x:c r="F32" s="18" t="str">
        <x:v>教务与学籍</x:v>
      </x:c>
      <x:c r="G32" s="18" t="str">
        <x:v>restricted_expansion_v1/extracted/RESV1-0009.md</x:v>
      </x:c>
      <x:c r="H32" s="17" t="str">
        <x:v>approve</x:v>
      </x:c>
      <x:c r="I32" s="16"/>
      <x:c r="J32" s="16"/>
      <x:c r="K32" s="16"/>
      <x:c r="L32" s="16"/>
      <x:c r="M32" s="16"/>
    </x:row>
    <x:row r="33">
      <x:c r="A33" s="17" t="str">
        <x:v>STGPUB-0165</x:v>
      </x:c>
      <x:c r="B33" s="17" t="str">
        <x:v>staging_public_baseline_v1</x:v>
      </x:c>
      <x:c r="C33" s="17" t="str">
        <x:v>public</x:v>
      </x:c>
      <x:c r="D33" s="18" t="str">
        <x:v>生物医学交叉研究院刘臻课题组改造非血红素铁酶实现多类烯烃的不对称氢化</x:v>
      </x:c>
      <x:c r="E33" s="18" t="str">
        <x:v>https://www.tsinghua.edu.cn/info/1175/126848.htm</x:v>
      </x:c>
      <x:c r="F33" s="18" t="str">
        <x:v>奖助与资助</x:v>
      </x:c>
      <x:c r="G33" s="18" t="str">
        <x:v>staging_public_baseline_v1/content/STGPUB-0165.md</x:v>
      </x:c>
      <x:c r="H33" s="17" t="str">
        <x:v>approve</x:v>
      </x:c>
      <x:c r="I33" s="16"/>
      <x:c r="J33" s="16"/>
      <x:c r="K33" s="16"/>
      <x:c r="L33" s="16"/>
      <x:c r="M33" s="16"/>
    </x:row>
    <x:row r="34">
      <x:c r="A34" s="17" t="str">
        <x:v>STGPUB-0134</x:v>
      </x:c>
      <x:c r="B34" s="17" t="str">
        <x:v>staging_public_baseline_v1</x:v>
      </x:c>
      <x:c r="C34" s="17" t="str">
        <x:v>public</x:v>
      </x:c>
      <x:c r="D34" s="18" t="str">
        <x:v>图书馆报告厅-清华大学图书馆</x:v>
      </x:c>
      <x:c r="E34" s="18" t="str">
        <x:v>https://lib.tsinghua.edu.cn/kj/tsgbgt.htm</x:v>
      </x:c>
      <x:c r="F34" s="18" t="str">
        <x:v>图书馆服务</x:v>
      </x:c>
      <x:c r="G34" s="18" t="str">
        <x:v>staging_public_baseline_v1/content/STGPUB-0134.md</x:v>
      </x:c>
      <x:c r="H34" s="17" t="str">
        <x:v>approve</x:v>
      </x:c>
      <x:c r="I34" s="16"/>
      <x:c r="J34" s="16"/>
      <x:c r="K34" s="16"/>
      <x:c r="L34" s="16"/>
      <x:c r="M34" s="16"/>
    </x:row>
    <x:row r="35">
      <x:c r="A35" s="17" t="str">
        <x:v>STGPUB-0125</x:v>
      </x:c>
      <x:c r="B35" s="17" t="str">
        <x:v>staging_public_baseline_v1</x:v>
      </x:c>
      <x:c r="C35" s="17" t="str">
        <x:v>public</x:v>
      </x:c>
      <x:c r="D35" s="18" t="str">
        <x:v>关于保护电子资源知识产权的公告-清华大学图书馆</x:v>
      </x:c>
      <x:c r="E35" s="18" t="str">
        <x:v>https://lib.tsinghua.edu.cn/info/1184/3500.htm</x:v>
      </x:c>
      <x:c r="F35" s="18" t="str">
        <x:v>图书馆服务</x:v>
      </x:c>
      <x:c r="G35" s="18" t="str">
        <x:v>staging_public_baseline_v1/content/STGPUB-0125.md</x:v>
      </x:c>
      <x:c r="H35" s="17" t="str">
        <x:v>approve</x:v>
      </x:c>
      <x:c r="I35" s="16"/>
      <x:c r="J35" s="16"/>
      <x:c r="K35" s="16"/>
      <x:c r="L35" s="16"/>
      <x:c r="M35" s="16"/>
    </x:row>
    <x:row r="36">
      <x:c r="A36" s="17" t="str">
        <x:v>STGPUB-0230</x:v>
      </x:c>
      <x:c r="B36" s="17" t="str">
        <x:v>staging_public_baseline_v1</x:v>
      </x:c>
      <x:c r="C36" s="17" t="str">
        <x:v>public</x:v>
      </x:c>
      <x:c r="D36" s="18" t="str">
        <x:v>历史沿革-清华大学图书馆</x:v>
      </x:c>
      <x:c r="E36" s="18" t="str">
        <x:v>https://lib.tsinghua.edu.cn/gk/lsyg1.htm</x:v>
      </x:c>
      <x:c r="F36" s="18" t="str">
        <x:v>校园文化与历史</x:v>
      </x:c>
      <x:c r="G36" s="18" t="str">
        <x:v>staging_public_baseline_v1/content/STGPUB-0230.md</x:v>
      </x:c>
      <x:c r="H36" s="17" t="str">
        <x:v>approve</x:v>
      </x:c>
      <x:c r="I36" s="16"/>
      <x:c r="J36" s="16"/>
      <x:c r="K36" s="16"/>
      <x:c r="L36" s="16"/>
      <x:c r="M36" s="16"/>
    </x:row>
    <x:row r="37">
      <x:c r="A37" s="17" t="str">
        <x:v>STGPUB-0056</x:v>
      </x:c>
      <x:c r="B37" s="17" t="str">
        <x:v>staging_public_baseline_v1</x:v>
      </x:c>
      <x:c r="C37" s="17" t="str">
        <x:v>public</x:v>
      </x:c>
      <x:c r="D37" s="18" t="str">
        <x:v>紫荆公寓区 清华大学紫荆学生公寓区位于校园北部，总占地28.4公顷，总建筑面积37万平方米，是目前国内规模最大的现代化学生公寓。公寓区的主体建筑为徽派建筑，分为本科生区、研究...</x:v>
      </x:c>
      <x:c r="E37" s="18" t="str">
        <x:v>https://www.tsinghua.edu.cn/info/1360/1399.htm</x:v>
      </x:c>
      <x:c r="F37" s="18" t="str">
        <x:v>教务与学籍</x:v>
      </x:c>
      <x:c r="G37" s="18" t="str">
        <x:v>staging_public_baseline_v1/content/STGPUB-0056.md</x:v>
      </x:c>
      <x:c r="H37" s="17" t="str">
        <x:v>approve</x:v>
      </x:c>
      <x:c r="I37" s="16"/>
      <x:c r="J37" s="16"/>
      <x:c r="K37" s="16"/>
      <x:c r="L37" s="16"/>
      <x:c r="M37" s="16"/>
    </x:row>
    <x:row r="38">
      <x:c r="A38" s="17" t="str">
        <x:v>STGPUB-0160</x:v>
      </x:c>
      <x:c r="B38" s="17" t="str">
        <x:v>staging_public_baseline_v1</x:v>
      </x:c>
      <x:c r="C38" s="17" t="str">
        <x:v>public</x:v>
      </x:c>
      <x:c r="D38" s="18" t="str">
        <x:v>大礼堂 大礼堂与老图书馆、西体育馆和科学馆，并称"四大建筑"，是清华建校以来第一批大规模建筑。大礼堂建成时是国内高校中最大的礼堂。大礼堂的建筑最具有意大利文艺复兴...</x:v>
      </x:c>
      <x:c r="E38" s="18" t="str">
        <x:v>https://www.tsinghua.edu.cn/info/1360/1406.htm</x:v>
      </x:c>
      <x:c r="F38" s="18" t="str">
        <x:v>体育与场馆</x:v>
      </x:c>
      <x:c r="G38" s="18" t="str">
        <x:v>staging_public_baseline_v1/content/STGPUB-0160.md</x:v>
      </x:c>
      <x:c r="H38" s="17" t="str">
        <x:v>approve</x:v>
      </x:c>
      <x:c r="I38" s="16"/>
      <x:c r="J38" s="16"/>
      <x:c r="K38" s="16"/>
      <x:c r="L38" s="16"/>
      <x:c r="M38" s="16"/>
    </x:row>
    <x:row r="39">
      <x:c r="A39" s="17" t="str">
        <x:v>STGPUB-0053</x:v>
      </x:c>
      <x:c r="B39" s="17" t="str">
        <x:v>staging_public_baseline_v1</x:v>
      </x:c>
      <x:c r="C39" s="17" t="str">
        <x:v>public</x:v>
      </x:c>
      <x:c r="D39" s="18" t="str">
        <x:v>清华大学课程成绩管理办法 课程成绩是教师对学生学业水平的学术评价结果。课程成绩管理是学校教学管理的重要环节之一，教学管理部门对课程评定标准与结果有指导、 统计和监督的责任。为进一步规范清华大学课程成绩管理，维护课程成绩的准确...</x:v>
      </x:c>
      <x:c r="E39" s="18" t="str">
        <x:v>https://qzc.tsinghua.edu.cn/info/1029/1513.htm</x:v>
      </x:c>
      <x:c r="F39" s="18" t="str">
        <x:v>教务与学籍</x:v>
      </x:c>
      <x:c r="G39" s="18" t="str">
        <x:v>staging_public_baseline_v1/content/STGPUB-0053.md</x:v>
      </x:c>
      <x:c r="H39" s="17" t="str">
        <x:v>approve</x:v>
      </x:c>
      <x:c r="I39" s="16"/>
      <x:c r="J39" s="16"/>
      <x:c r="K39" s="16"/>
      <x:c r="L39" s="16"/>
      <x:c r="M39" s="16"/>
    </x:row>
    <x:row r="40">
      <x:c r="A40" s="17" t="str">
        <x:v>STGPUB-0002</x:v>
      </x:c>
      <x:c r="B40" s="17" t="str">
        <x:v>staging_public_baseline_v1</x:v>
      </x:c>
      <x:c r="C40" s="17" t="str">
        <x:v>public</x:v>
      </x:c>
      <x:c r="D40" s="18" t="str">
        <x:v>2026.03.18 大学生活须知</x:v>
      </x:c>
      <x:c r="E40" s="18" t="str">
        <x:v>https://www.tsinghua.edu.cn/xssqglfwzx/info/1043/1176.htm</x:v>
      </x:c>
      <x:c r="F40" s="18" t="str">
        <x:v>教务与学籍</x:v>
      </x:c>
      <x:c r="G40" s="18" t="str">
        <x:v>staging_public_baseline_v1/content/STGPUB-0002.md</x:v>
      </x:c>
      <x:c r="H40" s="17" t="str">
        <x:v>approve</x:v>
      </x:c>
      <x:c r="I40" s="16"/>
      <x:c r="J40" s="16"/>
      <x:c r="K40" s="16"/>
      <x:c r="L40" s="16"/>
      <x:c r="M40" s="16"/>
    </x:row>
    <x:row r="41">
      <x:c r="A41" s="17" t="str">
        <x:v>STGPUB-0080</x:v>
      </x:c>
      <x:c r="B41" s="17" t="str">
        <x:v>staging_public_baseline_v1</x:v>
      </x:c>
      <x:c r="C41" s="17" t="str">
        <x:v>public</x:v>
      </x:c>
      <x:c r="D41" s="18" t="str">
        <x:v>校史研究室 （党史研究室、校史馆）</x:v>
      </x:c>
      <x:c r="E41" s="18" t="str">
        <x:v>http://xsg.tsinghua.edu.cn/</x:v>
      </x:c>
      <x:c r="F41" s="18" t="str">
        <x:v>交通服务</x:v>
      </x:c>
      <x:c r="G41" s="18" t="str">
        <x:v>staging_public_baseline_v1/content/STGPUB-0080.md</x:v>
      </x:c>
      <x:c r="H41" s="17" t="str">
        <x:v>approve</x:v>
      </x:c>
      <x:c r="I41" s="16"/>
      <x:c r="J41" s="16"/>
      <x:c r="K41" s="16"/>
      <x:c r="L41" s="16"/>
      <x:c r="M41" s="16"/>
    </x:row>
    <x:row r="42">
      <x:c r="A42" s="17" t="str">
        <x:v>STGPUB-0124</x:v>
      </x:c>
      <x:c r="B42" s="17" t="str">
        <x:v>staging_public_baseline_v1</x:v>
      </x:c>
      <x:c r="C42" s="17" t="str">
        <x:v>public</x:v>
      </x:c>
      <x:c r="D42" s="18" t="str">
        <x:v>八十万卷楼古籍全文检索平台开通试用（2026年4月15日-2027年4月2日）-清华大学图书馆</x:v>
      </x:c>
      <x:c r="E42" s="18" t="str">
        <x:v>https://lib.tsinghua.edu.cn/info/1077/7979.htm</x:v>
      </x:c>
      <x:c r="F42" s="18" t="str">
        <x:v>图书馆服务</x:v>
      </x:c>
      <x:c r="G42" s="18" t="str">
        <x:v>staging_public_baseline_v1/content/STGPUB-0124.md</x:v>
      </x:c>
      <x:c r="H42" s="17" t="str">
        <x:v>approve</x:v>
      </x:c>
      <x:c r="I42" s="16"/>
      <x:c r="J42" s="16"/>
      <x:c r="K42" s="16"/>
      <x:c r="L42" s="16"/>
      <x:c r="M42" s="16"/>
    </x:row>
    <x:row r="43">
      <x:c r="A43" s="17" t="str">
        <x:v>STGPUB-0084</x:v>
      </x:c>
      <x:c r="B43" s="17" t="str">
        <x:v>staging_public_baseline_v1</x:v>
      </x:c>
      <x:c r="C43" s="17" t="str">
        <x:v>public</x:v>
      </x:c>
      <x:c r="D43" s="18" t="str">
        <x:v>党委教师工作部</x:v>
      </x:c>
      <x:c r="E43" s="18" t="str">
        <x:v>http://www.jgb.tsinghua.edu.cn/</x:v>
      </x:c>
      <x:c r="F43" s="18" t="str">
        <x:v>医疗健康</x:v>
      </x:c>
      <x:c r="G43" s="18" t="str">
        <x:v>staging_public_baseline_v1/content/STGPUB-0084.md</x:v>
      </x:c>
      <x:c r="H43" s="17" t="str">
        <x:v>approve</x:v>
      </x:c>
      <x:c r="I43" s="16"/>
      <x:c r="J43" s="16"/>
      <x:c r="K43" s="16"/>
      <x:c r="L43" s="16"/>
      <x:c r="M43" s="16"/>
    </x:row>
    <x:row r="44">
      <x:c r="A44" s="17" t="str">
        <x:v>STGPUB-0037</x:v>
      </x:c>
      <x:c r="B44" s="17" t="str">
        <x:v>staging_public_baseline_v1</x:v>
      </x:c>
      <x:c r="C44" s="17" t="str">
        <x:v>public</x:v>
      </x:c>
      <x:c r="D44" s="18" t="str">
        <x:v>清华大学学生纪律处分管理规定 为了维护学校正常的教育教学秩序和生活秩序，保障学生合法权益，教育学生更好地遵纪守法，根据《普通高等学校学生管理规定》（教育部令第41号）以及《清华大学章程》，结合学校实际，制定本规定。</x:v>
      </x:c>
      <x:c r="E44" s="18" t="str">
        <x:v>https://qzc.tsinghua.edu.cn/info/1029/1443.htm</x:v>
      </x:c>
      <x:c r="F44" s="18" t="str">
        <x:v>教务与学籍</x:v>
      </x:c>
      <x:c r="G44" s="18" t="str">
        <x:v>staging_public_baseline_v1/content/STGPUB-0037.md</x:v>
      </x:c>
      <x:c r="H44" s="17" t="str">
        <x:v>approve</x:v>
      </x:c>
      <x:c r="I44" s="16"/>
      <x:c r="J44" s="16"/>
      <x:c r="K44" s="16"/>
      <x:c r="L44" s="16"/>
      <x:c r="M44" s="16"/>
    </x:row>
    <x:row r="45">
      <x:c r="A45" s="17" t="str">
        <x:v>STGPUB-0087</x:v>
      </x:c>
      <x:c r="B45" s="17" t="str">
        <x:v>staging_public_baseline_v1</x:v>
      </x:c>
      <x:c r="C45" s="17" t="str">
        <x:v>public</x:v>
      </x:c>
      <x:c r="D45" s="18" t="str">
        <x:v>医院介绍</x:v>
      </x:c>
      <x:c r="E45" s="18" t="str">
        <x:v>https://www.med.tsinghua.edu.cn/tlff/bj/yyjs.htm</x:v>
      </x:c>
      <x:c r="F45" s="18" t="str">
        <x:v>医疗健康</x:v>
      </x:c>
      <x:c r="G45" s="18" t="str">
        <x:v>staging_public_baseline_v1/content/STGPUB-0087.md</x:v>
      </x:c>
      <x:c r="H45" s="17" t="str">
        <x:v>approve</x:v>
      </x:c>
      <x:c r="I45" s="16"/>
      <x:c r="J45" s="16"/>
      <x:c r="K45" s="16"/>
      <x:c r="L45" s="16"/>
      <x:c r="M45" s="16"/>
    </x:row>
    <x:row r="46">
      <x:c r="A46" s="17" t="str">
        <x:v>STGPUB-0031</x:v>
      </x:c>
      <x:c r="B46" s="17" t="str">
        <x:v>staging_public_baseline_v1</x:v>
      </x:c>
      <x:c r="C46" s="17" t="str">
        <x:v>public</x:v>
      </x:c>
      <x:c r="D46" s="18" t="str">
        <x:v>清华大学学生申诉处理办法 为了保障学生合法权益，规范校内学生申诉处理程序，根据《普通高等学校学生管理规定》(教育部令第41号)以及《清华大学章程》《清华大学学生纪律处分管理规定》等的相关规定，制定本办法。</x:v>
      </x:c>
      <x:c r="E46" s="18" t="str">
        <x:v>https://qzc.tsinghua.edu.cn/info/1029/1446.htm</x:v>
      </x:c>
      <x:c r="F46" s="18" t="str">
        <x:v>教务与学籍</x:v>
      </x:c>
      <x:c r="G46" s="18" t="str">
        <x:v>staging_public_baseline_v1/content/STGPUB-0031.md</x:v>
      </x:c>
      <x:c r="H46" s="17" t="str">
        <x:v>approve</x:v>
      </x:c>
      <x:c r="I46" s="16"/>
      <x:c r="J46" s="16"/>
      <x:c r="K46" s="16"/>
      <x:c r="L46" s="16"/>
      <x:c r="M46" s="16"/>
    </x:row>
    <x:row r="47">
      <x:c r="A47" s="17" t="str">
        <x:v>STGPUB-0081</x:v>
      </x:c>
      <x:c r="B47" s="17" t="str">
        <x:v>staging_public_baseline_v1</x:v>
      </x:c>
      <x:c r="C47" s="17" t="str">
        <x:v>public</x:v>
      </x:c>
      <x:c r="D47" s="18" t="str">
        <x:v>清华大学学生困难补助管理办法</x:v>
      </x:c>
      <x:c r="E47" s="18" t="str">
        <x:v>https://www.tsinghua.edu.cn/info/1093/82884.htm</x:v>
      </x:c>
      <x:c r="F47" s="18" t="str">
        <x:v>交通服务</x:v>
      </x:c>
      <x:c r="G47" s="18" t="str">
        <x:v>staging_public_baseline_v1/content/STGPUB-0081.md</x:v>
      </x:c>
      <x:c r="H47" s="17" t="str">
        <x:v>approve</x:v>
      </x:c>
      <x:c r="I47" s="16"/>
      <x:c r="J47" s="16"/>
      <x:c r="K47" s="16"/>
      <x:c r="L47" s="16"/>
      <x:c r="M47" s="16"/>
    </x:row>
    <x:row r="48">
      <x:c r="A48" s="17" t="str">
        <x:v>STGPUB-0199</x:v>
      </x:c>
      <x:c r="B48" s="17" t="str">
        <x:v>staging_public_baseline_v1</x:v>
      </x:c>
      <x:c r="C48" s="17" t="str">
        <x:v>public</x:v>
      </x:c>
      <x:c r="D48" s="18" t="str">
        <x:v>国内合作处</x:v>
      </x:c>
      <x:c r="E48" s="18" t="str">
        <x:v>https://www.tsinghua.edu.cn/gnhzc/</x:v>
      </x:c>
      <x:c r="F48" s="18" t="str">
        <x:v>科研参与与资源导航</x:v>
      </x:c>
      <x:c r="G48" s="18" t="str">
        <x:v>staging_public_baseline_v1/content/STGPUB-0199.md</x:v>
      </x:c>
      <x:c r="H48" s="17" t="str">
        <x:v>approve</x:v>
      </x:c>
      <x:c r="I48" s="16"/>
      <x:c r="J48" s="16"/>
      <x:c r="K48" s="16"/>
      <x:c r="L48" s="16"/>
      <x:c r="M48" s="16"/>
    </x:row>
    <x:row r="49">
      <x:c r="A49" s="17" t="str">
        <x:v>STGPUB-0215</x:v>
      </x:c>
      <x:c r="B49" s="17" t="str">
        <x:v>staging_public_baseline_v1</x:v>
      </x:c>
      <x:c r="C49" s="17" t="str">
        <x:v>public</x:v>
      </x:c>
      <x:c r="D49" s="18" t="str">
        <x:v>教学资源开发</x:v>
      </x:c>
      <x:c r="E49" s="18" t="str">
        <x:v>https://www.itc.tsinghua.edu.cn/ggfwsd/jxzykf.htm</x:v>
      </x:c>
      <x:c r="F49" s="18" t="str">
        <x:v>教学与培养</x:v>
      </x:c>
      <x:c r="G49" s="18" t="str">
        <x:v>staging_public_baseline_v1/content/STGPUB-0215.md</x:v>
      </x:c>
      <x:c r="H49" s="17" t="str">
        <x:v>approve</x:v>
      </x:c>
      <x:c r="I49" s="16"/>
      <x:c r="J49" s="16"/>
      <x:c r="K49" s="16"/>
      <x:c r="L49" s="16"/>
      <x:c r="M49" s="16"/>
    </x:row>
    <x:row r="50">
      <x:c r="A50" s="17" t="str">
        <x:v>STGPUB-0183</x:v>
      </x:c>
      <x:c r="B50" s="17" t="str">
        <x:v>staging_public_baseline_v1</x:v>
      </x:c>
      <x:c r="C50" s="17" t="str">
        <x:v>public</x:v>
      </x:c>
      <x:c r="D50" s="18" t="str">
        <x:v>终身教育处</x:v>
      </x:c>
      <x:c r="E50" s="18" t="str">
        <x:v>https://www.tsinghua.edu.cn/zsjyc/</x:v>
      </x:c>
      <x:c r="F50" s="18" t="str">
        <x:v>就业与职业发展</x:v>
      </x:c>
      <x:c r="G50" s="18" t="str">
        <x:v>staging_public_baseline_v1/content/STGPUB-0183.md</x:v>
      </x:c>
      <x:c r="H50" s="17" t="str">
        <x:v>approve</x:v>
      </x:c>
      <x:c r="I50" s="16"/>
      <x:c r="J50" s="16"/>
      <x:c r="K50" s="16"/>
      <x:c r="L50" s="16"/>
      <x:c r="M50" s="16"/>
    </x:row>
    <x:row r="51">
      <x:c r="A51" s="17" t="str">
        <x:v>STGPUB-0185</x:v>
      </x:c>
      <x:c r="B51" s="17" t="str">
        <x:v>staging_public_baseline_v1</x:v>
      </x:c>
      <x:c r="C51" s="17" t="str">
        <x:v>public</x:v>
      </x:c>
      <x:c r="D51" s="18" t="str">
        <x:v>2026经济与金融数据课堂第五讲 | 利用排排网私募数据库进行金融研究-清华大学图书馆</x:v>
      </x:c>
      <x:c r="E51" s="18" t="str">
        <x:v>https://lib.tsinghua.edu.cn/info/1068/8053.htm</x:v>
      </x:c>
      <x:c r="F51" s="18" t="str">
        <x:v>科研参与与资源导航</x:v>
      </x:c>
      <x:c r="G51" s="18" t="str">
        <x:v>staging_public_baseline_v1/content/STGPUB-0185.md</x:v>
      </x:c>
      <x:c r="H51" s="17" t="str">
        <x:v>approve</x:v>
      </x:c>
      <x:c r="I51" s="16"/>
      <x:c r="J51" s="16"/>
      <x:c r="K51" s="16"/>
      <x:c r="L51" s="16"/>
      <x:c r="M51" s="16"/>
    </x:row>
    <x:row r="52">
      <x:c r="A52" s="17" t="str">
        <x:v>STGPUB-0184</x:v>
      </x:c>
      <x:c r="B52" s="17" t="str">
        <x:v>staging_public_baseline_v1</x:v>
      </x:c>
      <x:c r="C52" s="17" t="str">
        <x:v>public</x:v>
      </x:c>
      <x:c r="D52" s="18" t="str">
        <x:v>美术学院 2004年3月奠基动工，2005年8月投入使用的美术学院新教学楼位于主校区东区，中央主楼东南方向，建筑总面积62,000平方米，占地15,000平方米，由美国帕金斯威尔公司设计。...</x:v>
      </x:c>
      <x:c r="E52" s="18" t="str">
        <x:v>https://www.tsinghua.edu.cn/info/1360/1405.htm</x:v>
      </x:c>
      <x:c r="F52" s="18" t="str">
        <x:v>就业与职业发展</x:v>
      </x:c>
      <x:c r="G52" s="18" t="str">
        <x:v>staging_public_baseline_v1/content/STGPUB-0184.md</x:v>
      </x:c>
      <x:c r="H52" s="17" t="str">
        <x:v>approve</x:v>
      </x:c>
      <x:c r="I52" s="16"/>
      <x:c r="J52" s="16"/>
      <x:c r="K52" s="16"/>
      <x:c r="L52" s="16"/>
      <x:c r="M52" s="16"/>
    </x:row>
    <x:row r="53">
      <x:c r="A53" s="17" t="str">
        <x:v>STGPUB-0200</x:v>
      </x:c>
      <x:c r="B53" s="17" t="str">
        <x:v>staging_public_baseline_v1</x:v>
      </x:c>
      <x:c r="C53" s="17" t="str">
        <x:v>public</x:v>
      </x:c>
      <x:c r="D53" s="18" t="str">
        <x:v>国际水协会（IWA）开放获取（OA）政策-清华大学图书馆</x:v>
      </x:c>
      <x:c r="E53" s="18" t="str">
        <x:v>https://lib.tsinghua.edu.cn/info/1344/5972.htm</x:v>
      </x:c>
      <x:c r="F53" s="18" t="str">
        <x:v>科研参与与资源导航</x:v>
      </x:c>
      <x:c r="G53" s="18" t="str">
        <x:v>staging_public_baseline_v1/content/STGPUB-0200.md</x:v>
      </x:c>
      <x:c r="H53" s="17" t="str">
        <x:v>approve</x:v>
      </x:c>
      <x:c r="I53" s="16"/>
      <x:c r="J53" s="16"/>
      <x:c r="K53" s="16"/>
      <x:c r="L53" s="16"/>
      <x:c r="M53" s="16"/>
    </x:row>
    <x:row r="54">
      <x:c r="A54" s="17" t="str">
        <x:v>STGPUB-0006</x:v>
      </x:c>
      <x:c r="B54" s="17" t="str">
        <x:v>staging_public_baseline_v1</x:v>
      </x:c>
      <x:c r="C54" s="17" t="str">
        <x:v>public</x:v>
      </x:c>
      <x:c r="D54" s="18" t="str">
        <x:v>休（退）学学生办理退课流程</x:v>
      </x:c>
      <x:c r="E54" s="18" t="str">
        <x:v>https://qzc.tsinghua.edu.cn/info/1031/1219.htm</x:v>
      </x:c>
      <x:c r="F54" s="18" t="str">
        <x:v>教务与学籍</x:v>
      </x:c>
      <x:c r="G54" s="18" t="str">
        <x:v>staging_public_baseline_v1/content/STGPUB-0006.md</x:v>
      </x:c>
      <x:c r="H54" s="17" t="str">
        <x:v>approve</x:v>
      </x:c>
      <x:c r="I54" s="16"/>
      <x:c r="J54" s="16"/>
      <x:c r="K54" s="16"/>
      <x:c r="L54" s="16"/>
      <x:c r="M54" s="16"/>
    </x:row>
    <x:row r="55">
      <x:c r="A55" s="17" t="str">
        <x:v>STGPUB-0065</x:v>
      </x:c>
      <x:c r="B55" s="17" t="str">
        <x:v>staging_public_baseline_v1</x:v>
      </x:c>
      <x:c r="C55" s="17" t="str">
        <x:v>public</x:v>
      </x:c>
      <x:c r="D55" s="18" t="str">
        <x:v>清华大学医院可在114平台预约挂号啦！-清华大学医学院</x:v>
      </x:c>
      <x:c r="E55" s="18" t="str">
        <x:v>https://www.med.tsinghua.edu.cn/info/1407/4477.htm</x:v>
      </x:c>
      <x:c r="F55" s="18" t="str">
        <x:v>学生事务</x:v>
      </x:c>
      <x:c r="G55" s="18" t="str">
        <x:v>staging_public_baseline_v1/content/STGPUB-0065.md</x:v>
      </x:c>
      <x:c r="H55" s="17" t="str">
        <x:v>approve</x:v>
      </x:c>
      <x:c r="I55" s="16"/>
      <x:c r="J55" s="16"/>
      <x:c r="K55" s="16"/>
      <x:c r="L55" s="16"/>
      <x:c r="M55" s="16"/>
    </x:row>
    <x:row r="56">
      <x:c r="A56" s="17" t="str">
        <x:v>STGPUB-0070</x:v>
      </x:c>
      <x:c r="B56" s="17" t="str">
        <x:v>staging_public_baseline_v1</x:v>
      </x:c>
      <x:c r="C56" s="17" t="str">
        <x:v>public</x:v>
      </x:c>
      <x:c r="D56" s="18" t="str">
        <x:v>后勤管理处</x:v>
      </x:c>
      <x:c r="E56" s="18" t="str">
        <x:v>https://www.tsinghua.edu.cn/qhdxzwzbgs/</x:v>
      </x:c>
      <x:c r="F56" s="18" t="str">
        <x:v>住宿服务</x:v>
      </x:c>
      <x:c r="G56" s="18" t="str">
        <x:v>staging_public_baseline_v1/content/STGPUB-0070.md</x:v>
      </x:c>
      <x:c r="H56" s="17" t="str">
        <x:v>approve</x:v>
      </x:c>
      <x:c r="I56" s="16"/>
      <x:c r="J56" s="16"/>
      <x:c r="K56" s="16"/>
      <x:c r="L56" s="16"/>
      <x:c r="M56" s="16"/>
    </x:row>
    <x:row r="57">
      <x:c r="A57" s="17" t="str">
        <x:v>STGPUB-0062</x:v>
      </x:c>
      <x:c r="B57" s="17" t="str">
        <x:v>staging_public_baseline_v1</x:v>
      </x:c>
      <x:c r="C57" s="17" t="str">
        <x:v>public</x:v>
      </x:c>
      <x:c r="D57" s="18" t="str">
        <x:v>党委研究生工作部</x:v>
      </x:c>
      <x:c r="E57" s="18" t="str">
        <x:v>https://www.tsinghua.edu.cn/yjsgzb/</x:v>
      </x:c>
      <x:c r="F57" s="18" t="str">
        <x:v>学生事务</x:v>
      </x:c>
      <x:c r="G57" s="18" t="str">
        <x:v>staging_public_baseline_v1/content/STGPUB-0062.md</x:v>
      </x:c>
      <x:c r="H57" s="17" t="str">
        <x:v>approve</x:v>
      </x:c>
      <x:c r="I57" s="16"/>
      <x:c r="J57" s="16"/>
      <x:c r="K57" s="16"/>
      <x:c r="L57" s="16"/>
      <x:c r="M57" s="16"/>
    </x:row>
    <x:row r="58">
      <x:c r="A58" s="17" t="str">
        <x:v>STGPUB-0011</x:v>
      </x:c>
      <x:c r="B58" s="17" t="str">
        <x:v>staging_public_baseline_v1</x:v>
      </x:c>
      <x:c r="C58" s="17" t="str">
        <x:v>public</x:v>
      </x:c>
      <x:c r="D58" s="18" t="str">
        <x:v>学生职业发展协会</x:v>
      </x:c>
      <x:c r="E58" s="18" t="str">
        <x:v>https://career.tsinghua.edu.cn/info/1037/2434.htm</x:v>
      </x:c>
      <x:c r="F58" s="18" t="str">
        <x:v>教务与学籍</x:v>
      </x:c>
      <x:c r="G58" s="18" t="str">
        <x:v>staging_public_baseline_v1/content/STGPUB-0011.md</x:v>
      </x:c>
      <x:c r="H58" s="17" t="str">
        <x:v>approve</x:v>
      </x:c>
      <x:c r="I58" s="16"/>
      <x:c r="J58" s="16"/>
      <x:c r="K58" s="16"/>
      <x:c r="L58" s="16"/>
      <x:c r="M58" s="16"/>
    </x:row>
  </x:sheetData>
  <x:mergeCells>
    <x:mergeCell ref="A1:M1"/>
    <x:mergeCell ref="A2:M2"/>
  </x:mergeCells>
  <x:dataValidations count="1">
    <x:dataValidation type="list" sqref="I5:L58">
      <x:formula1>"是,否,不确定"</x:formula1>
    </x:dataValidation>
  </x:dataValidations>
  <x:pageMargins left="0.7" right="0.7" top="0.75" bottom="0.75" header="0.3" footer="0.3"/>
  <x:tableParts count="1">
    <x:tablePart xmlns:r="http://schemas.openxmlformats.org/officeDocument/2006/relationships" r:id="R3461f3fda4c14606"/>
  </x:tableParts>
</x:worksheet>
</file>

<file path=xl/worksheets/sheet2.xml><?xml version="1.0" encoding="utf-8"?>
<x:worksheet xmlns:x="http://schemas.openxmlformats.org/spreadsheetml/2006/main">
  <x:sheetViews>
    <x:sheetView showGridLines="0" workbookViewId="0"/>
  </x:sheetViews>
  <x:sheetFormatPr defaultRowHeight="15"/>
  <x:cols>
    <x:col min="1" max="1" width="24" hidden="0" customWidth="1"/>
    <x:col min="2" max="2" width="21" hidden="0" customWidth="1"/>
    <x:col min="3" max="3" width="21" hidden="0" customWidth="1"/>
    <x:col min="4" max="4" width="21" hidden="0" customWidth="1"/>
  </x:cols>
  <x:sheetData>
    <x:row r="1" ht="30" customHeight="1">
      <x:c r="A1" s="19" t="str">
        <x:v>Sampling Summary</x:v>
      </x:c>
      <x:c r="B1" s="19"/>
      <x:c r="C1" s="19"/>
      <x:c r="D1" s="19"/>
    </x:row>
    <x:row r="3">
      <x:c r="A3" s="20" t="str">
        <x:v>随机种子</x:v>
      </x:c>
      <x:c r="B3" s="23" t="n">
        <x:v>20260813</x:v>
      </x:c>
    </x:row>
    <x:row r="4">
      <x:c r="A4" s="20" t="str">
        <x:v>Public population</x:v>
      </x:c>
      <x:c r="B4" s="23" t="n">
        <x:v>234</x:v>
      </x:c>
    </x:row>
    <x:row r="5">
      <x:c r="A5" s="20" t="str">
        <x:v>Public sample</x:v>
      </x:c>
      <x:c r="B5" s="23" t="n">
        <x:f>COUNTIF('Human Audit'!C5:C58,"public")</x:f>
        <x:v>50</x:v>
      </x:c>
    </x:row>
    <x:row r="6">
      <x:c r="A6" s="20" t="str">
        <x:v>Restricted population</x:v>
      </x:c>
      <x:c r="B6" s="23" t="n">
        <x:v>4</x:v>
      </x:c>
    </x:row>
    <x:row r="7">
      <x:c r="A7" s="20" t="str">
        <x:v>Restricted sample</x:v>
      </x:c>
      <x:c r="B7" s="23" t="n">
        <x:f>COUNTIF('Human Audit'!C5:C58,"restricted")</x:f>
        <x:v>4</x:v>
      </x:c>
    </x:row>
    <x:row r="8">
      <x:c r="A8" s="20" t="str">
        <x:v>Total sample</x:v>
      </x:c>
      <x:c r="B8" s="23" t="n">
        <x:f>COUNTA('Human Audit'!A5:A58)</x:f>
        <x:v>54</x:v>
      </x:c>
    </x:row>
    <x:row r="10" ht="32" customHeight="1">
      <x:c r="A10" s="11" t="str">
        <x:v>category</x:v>
      </x:c>
      <x:c r="B10" s="11" t="str">
        <x:v>Public population</x:v>
      </x:c>
      <x:c r="C10" s="11" t="str">
        <x:v>Public sample</x:v>
      </x:c>
      <x:c r="D10" s="11" t="str">
        <x:v>Restricted sample</x:v>
      </x:c>
    </x:row>
    <x:row r="11">
      <x:c r="A11" t="str">
        <x:v>餐饮服务</x:v>
      </x:c>
      <x:c r="B11" s="24" t="n">
        <x:v>2</x:v>
      </x:c>
      <x:c r="C11" s="24" t="n">
        <x:f>COUNTIFS('Human Audit'!F5:F58,A11,'Human Audit'!C5:C58,"public")</x:f>
        <x:v>2</x:v>
      </x:c>
      <x:c r="D11" s="24" t="n">
        <x:f>COUNTIFS('Human Audit'!F5:F58,A11,'Human Audit'!C5:C58,"restricted")</x:f>
        <x:v>0</x:v>
      </x:c>
    </x:row>
    <x:row r="12">
      <x:c r="A12" t="str">
        <x:v>国际事务与签证</x:v>
      </x:c>
      <x:c r="B12" s="24" t="n">
        <x:v>12</x:v>
      </x:c>
      <x:c r="C12" s="24" t="n">
        <x:f>COUNTIFS('Human Audit'!F5:F58,A12,'Human Audit'!C5:C58,"public")</x:f>
        <x:v>2</x:v>
      </x:c>
      <x:c r="D12" s="24" t="n">
        <x:f>COUNTIFS('Human Audit'!F5:F58,A12,'Human Audit'!C5:C58,"restricted")</x:f>
        <x:v>0</x:v>
      </x:c>
    </x:row>
    <x:row r="13">
      <x:c r="A13" t="str">
        <x:v>奖助与资助</x:v>
      </x:c>
      <x:c r="B13" s="24" t="n">
        <x:v>4</x:v>
      </x:c>
      <x:c r="C13" s="24" t="n">
        <x:f>COUNTIFS('Human Audit'!F5:F58,A13,'Human Audit'!C5:C58,"public")</x:f>
        <x:v>4</x:v>
      </x:c>
      <x:c r="D13" s="24" t="n">
        <x:f>COUNTIFS('Human Audit'!F5:F58,A13,'Human Audit'!C5:C58,"restricted")</x:f>
        <x:v>1</x:v>
      </x:c>
    </x:row>
    <x:row r="14">
      <x:c r="A14" t="str">
        <x:v>交通服务</x:v>
      </x:c>
      <x:c r="B14" s="24" t="n">
        <x:v>3</x:v>
      </x:c>
      <x:c r="C14" s="24" t="n">
        <x:f>COUNTIFS('Human Audit'!F5:F58,A14,'Human Audit'!C5:C58,"public")</x:f>
        <x:v>3</x:v>
      </x:c>
      <x:c r="D14" s="24" t="n">
        <x:f>COUNTIFS('Human Audit'!F5:F58,A14,'Human Audit'!C5:C58,"restricted")</x:f>
        <x:v>0</x:v>
      </x:c>
    </x:row>
    <x:row r="15">
      <x:c r="A15" t="str">
        <x:v>教务与学籍</x:v>
      </x:c>
      <x:c r="B15" s="24" t="n">
        <x:v>61</x:v>
      </x:c>
      <x:c r="C15" s="24" t="n">
        <x:f>COUNTIFS('Human Audit'!F5:F58,A15,'Human Audit'!C5:C58,"public")</x:f>
        <x:v>8</x:v>
      </x:c>
      <x:c r="D15" s="24" t="n">
        <x:f>COUNTIFS('Human Audit'!F5:F58,A15,'Human Audit'!C5:C58,"restricted")</x:f>
        <x:v>1</x:v>
      </x:c>
    </x:row>
    <x:row r="16">
      <x:c r="A16" t="str">
        <x:v>教学与培养</x:v>
      </x:c>
      <x:c r="B16" s="24" t="n">
        <x:v>10</x:v>
      </x:c>
      <x:c r="C16" s="24" t="n">
        <x:f>COUNTIFS('Human Audit'!F5:F58,A16,'Human Audit'!C5:C58,"public")</x:f>
        <x:v>1</x:v>
      </x:c>
      <x:c r="D16" s="24" t="n">
        <x:f>COUNTIFS('Human Audit'!F5:F58,A16,'Human Audit'!C5:C58,"restricted")</x:f>
        <x:v>0</x:v>
      </x:c>
    </x:row>
    <x:row r="17">
      <x:c r="A17" t="str">
        <x:v>就业与职业发展</x:v>
      </x:c>
      <x:c r="B17" s="24" t="n">
        <x:v>6</x:v>
      </x:c>
      <x:c r="C17" s="24" t="n">
        <x:f>COUNTIFS('Human Audit'!F5:F58,A17,'Human Audit'!C5:C58,"public")</x:f>
        <x:v>6</x:v>
      </x:c>
      <x:c r="D17" s="24" t="n">
        <x:f>COUNTIFS('Human Audit'!F5:F58,A17,'Human Audit'!C5:C58,"restricted")</x:f>
        <x:v>0</x:v>
      </x:c>
    </x:row>
    <x:row r="18">
      <x:c r="A18" t="str">
        <x:v>科研参与与资源导航</x:v>
      </x:c>
      <x:c r="B18" s="24" t="n">
        <x:v>25</x:v>
      </x:c>
      <x:c r="C18" s="24" t="n">
        <x:f>COUNTIFS('Human Audit'!F5:F58,A18,'Human Audit'!C5:C58,"public")</x:f>
        <x:v>3</x:v>
      </x:c>
      <x:c r="D18" s="24" t="n">
        <x:f>COUNTIFS('Human Audit'!F5:F58,A18,'Human Audit'!C5:C58,"restricted")</x:f>
        <x:v>0</x:v>
      </x:c>
    </x:row>
    <x:row r="19">
      <x:c r="A19" t="str">
        <x:v>体育与场馆</x:v>
      </x:c>
      <x:c r="B19" s="24" t="n">
        <x:v>4</x:v>
      </x:c>
      <x:c r="C19" s="24" t="n">
        <x:f>COUNTIFS('Human Audit'!F5:F58,A19,'Human Audit'!C5:C58,"public")</x:f>
        <x:v>4</x:v>
      </x:c>
      <x:c r="D19" s="24" t="n">
        <x:f>COUNTIFS('Human Audit'!F5:F58,A19,'Human Audit'!C5:C58,"restricted")</x:f>
        <x:v>0</x:v>
      </x:c>
    </x:row>
    <x:row r="20">
      <x:c r="A20" t="str">
        <x:v>图书馆服务</x:v>
      </x:c>
      <x:c r="B20" s="24" t="n">
        <x:v>48</x:v>
      </x:c>
      <x:c r="C20" s="24" t="n">
        <x:f>COUNTIFS('Human Audit'!F5:F58,A20,'Human Audit'!C5:C58,"public")</x:f>
        <x:v>6</x:v>
      </x:c>
      <x:c r="D20" s="24" t="n">
        <x:f>COUNTIFS('Human Audit'!F5:F58,A20,'Human Audit'!C5:C58,"restricted")</x:f>
        <x:v>0</x:v>
      </x:c>
    </x:row>
    <x:row r="21">
      <x:c r="A21" t="str">
        <x:v>网络与信息化</x:v>
      </x:c>
      <x:c r="B21" s="24" t="n">
        <x:v>15</x:v>
      </x:c>
      <x:c r="C21" s="24" t="n">
        <x:f>COUNTIFS('Human Audit'!F5:F58,A21,'Human Audit'!C5:C58,"public")</x:f>
        <x:v>2</x:v>
      </x:c>
      <x:c r="D21" s="24" t="n">
        <x:f>COUNTIFS('Human Audit'!F5:F58,A21,'Human Audit'!C5:C58,"restricted")</x:f>
        <x:v>0</x:v>
      </x:c>
    </x:row>
    <x:row r="22">
      <x:c r="A22" t="str">
        <x:v>校园访问</x:v>
      </x:c>
      <x:c r="B22" s="24" t="n">
        <x:v>0</x:v>
      </x:c>
      <x:c r="C22" s="24" t="n">
        <x:f>COUNTIFS('Human Audit'!F5:F58,A22,'Human Audit'!C5:C58,"public")</x:f>
        <x:v>0</x:v>
      </x:c>
      <x:c r="D22" s="24" t="n">
        <x:f>COUNTIFS('Human Audit'!F5:F58,A22,'Human Audit'!C5:C58,"restricted")</x:f>
        <x:v>0</x:v>
      </x:c>
    </x:row>
    <x:row r="23">
      <x:c r="A23" t="str">
        <x:v>校园机构与部门</x:v>
      </x:c>
      <x:c r="B23" s="24" t="n">
        <x:v>10</x:v>
      </x:c>
      <x:c r="C23" s="24" t="n">
        <x:f>COUNTIFS('Human Audit'!F5:F58,A23,'Human Audit'!C5:C58,"public")</x:f>
        <x:v>1</x:v>
      </x:c>
      <x:c r="D23" s="24" t="n">
        <x:f>COUNTIFS('Human Audit'!F5:F58,A23,'Human Audit'!C5:C58,"restricted")</x:f>
        <x:v>0</x:v>
      </x:c>
    </x:row>
    <x:row r="24">
      <x:c r="A24" t="str">
        <x:v>校园文化与历史</x:v>
      </x:c>
      <x:c r="B24" s="24" t="n">
        <x:v>5</x:v>
      </x:c>
      <x:c r="C24" s="24" t="n">
        <x:f>COUNTIFS('Human Audit'!F5:F58,A24,'Human Audit'!C5:C58,"public")</x:f>
        <x:v>1</x:v>
      </x:c>
      <x:c r="D24" s="24" t="n">
        <x:f>COUNTIFS('Human Audit'!F5:F58,A24,'Human Audit'!C5:C58,"restricted")</x:f>
        <x:v>0</x:v>
      </x:c>
    </x:row>
    <x:row r="25">
      <x:c r="A25" t="str">
        <x:v>校园综合服务</x:v>
      </x:c>
      <x:c r="B25" s="24" t="n">
        <x:v>0</x:v>
      </x:c>
      <x:c r="C25" s="24" t="n">
        <x:f>COUNTIFS('Human Audit'!F5:F58,A25,'Human Audit'!C5:C58,"public")</x:f>
        <x:v>0</x:v>
      </x:c>
      <x:c r="D25" s="24" t="n">
        <x:f>COUNTIFS('Human Audit'!F5:F58,A25,'Human Audit'!C5:C58,"restricted")</x:f>
        <x:v>1</x:v>
      </x:c>
    </x:row>
    <x:row r="26">
      <x:c r="A26" t="str">
        <x:v>学生事务</x:v>
      </x:c>
      <x:c r="B26" s="24" t="n">
        <x:v>4</x:v>
      </x:c>
      <x:c r="C26" s="24" t="n">
        <x:f>COUNTIFS('Human Audit'!F5:F58,A26,'Human Audit'!C5:C58,"public")</x:f>
        <x:v>4</x:v>
      </x:c>
      <x:c r="D26" s="24" t="n">
        <x:f>COUNTIFS('Human Audit'!F5:F58,A26,'Human Audit'!C5:C58,"restricted")</x:f>
        <x:v>0</x:v>
      </x:c>
    </x:row>
    <x:row r="27">
      <x:c r="A27" t="str">
        <x:v>医疗健康</x:v>
      </x:c>
      <x:c r="B27" s="24" t="n">
        <x:v>13</x:v>
      </x:c>
      <x:c r="C27" s="24" t="n">
        <x:f>COUNTIFS('Human Audit'!F5:F58,A27,'Human Audit'!C5:C58,"public")</x:f>
        <x:v>2</x:v>
      </x:c>
      <x:c r="D27" s="24" t="n">
        <x:f>COUNTIFS('Human Audit'!F5:F58,A27,'Human Audit'!C5:C58,"restricted")</x:f>
        <x:v>1</x:v>
      </x:c>
    </x:row>
    <x:row r="28">
      <x:c r="A28" t="str">
        <x:v>住宿服务</x:v>
      </x:c>
      <x:c r="B28" s="24" t="n">
        <x:v>12</x:v>
      </x:c>
      <x:c r="C28" s="24" t="n">
        <x:f>COUNTIFS('Human Audit'!F5:F58,A28,'Human Audit'!C5:C58,"public")</x:f>
        <x:v>1</x:v>
      </x:c>
      <x:c r="D28" s="24" t="n">
        <x:f>COUNTIFS('Human Audit'!F5:F58,A28,'Human Audit'!C5:C58,"restricted")</x:f>
        <x:v>0</x:v>
      </x:c>
    </x:row>
  </x:sheetData>
  <x:mergeCells>
    <x:mergeCell ref="A1:D1"/>
  </x:mergeCells>
  <x:pageMargins left="0.7" right="0.7" top="0.75" bottom="0.75" header="0.3" footer="0.3"/>
  <x:tableParts count="1">
    <x:tablePart xmlns:r="http://schemas.openxmlformats.org/officeDocument/2006/relationships" r:id="Rded784dc5e36414a"/>
  </x:tableParts>
</x:worksheet>
</file>